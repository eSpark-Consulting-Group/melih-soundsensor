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D:\eSpark\Melih-SoundSensor\Deliverables\BOM\"/>
    </mc:Choice>
  </mc:AlternateContent>
  <xr:revisionPtr revIDLastSave="0" documentId="13_ncr:1_{F7DCCF14-03CB-4DC0-922D-DC993A177CE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3" i="1" l="1"/>
  <c r="P28" i="1"/>
  <c r="M27" i="1"/>
  <c r="P25" i="1"/>
  <c r="P4" i="1"/>
  <c r="P5" i="1"/>
  <c r="P6" i="1"/>
  <c r="P7" i="1"/>
  <c r="P8" i="1"/>
  <c r="P9" i="1"/>
  <c r="P10" i="1"/>
  <c r="P11" i="1"/>
  <c r="P12" i="1"/>
  <c r="P14" i="1"/>
  <c r="P15" i="1"/>
  <c r="P16" i="1"/>
  <c r="P17" i="1"/>
  <c r="P18" i="1"/>
  <c r="P19" i="1"/>
  <c r="P20" i="1"/>
  <c r="P21" i="1"/>
  <c r="P22" i="1"/>
  <c r="P23" i="1"/>
  <c r="P24" i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3" i="1"/>
  <c r="P29" i="1" l="1"/>
  <c r="P32" i="1"/>
</calcChain>
</file>

<file path=xl/sharedStrings.xml><?xml version="1.0" encoding="utf-8"?>
<sst xmlns="http://schemas.openxmlformats.org/spreadsheetml/2006/main" count="263" uniqueCount="171">
  <si>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</si>
  <si>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</si>
  <si>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</si>
  <si>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</si>
  <si>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</si>
  <si>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</si>
  <si>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</si>
  <si>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</si>
  <si>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</si>
  <si>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</si>
  <si>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</si>
  <si>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</si>
  <si>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</si>
  <si>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</si>
  <si>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</si>
  <si>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</si>
  <si>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</si>
  <si>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</si>
  <si>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</si>
  <si>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</si>
  <si>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</si>
  <si>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</si>
  <si>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</si>
  <si>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</si>
  <si>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</si>
  <si>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</si>
  <si>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</si>
  <si>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</si>
  <si>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</si>
  <si>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</si>
  <si>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</si>
  <si>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</si>
  <si>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</si>
  <si>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</si>
  <si>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</si>
  <si>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</si>
  <si>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</si>
  <si>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</si>
  <si>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</si>
  <si>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</si>
  <si>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</si>
  <si>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</si>
  <si>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</si>
  <si>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Aliexpress Shipping</t>
  </si>
  <si>
    <t>Total with Shipping</t>
  </si>
  <si>
    <t>Quantity 5</t>
  </si>
  <si>
    <t>Unit Cost(5)</t>
  </si>
  <si>
    <t>MOQ Total 5</t>
  </si>
  <si>
    <t>LCSC/MOQ (5)</t>
  </si>
  <si>
    <t>CAP CER 10UF 25V X5R 0603</t>
  </si>
  <si>
    <t>C1, C56, C57</t>
  </si>
  <si>
    <t>Cap 0603</t>
  </si>
  <si>
    <t>CL10A106MA8NRNC</t>
  </si>
  <si>
    <t>C2</t>
  </si>
  <si>
    <t>CL10A475KA8NQNC</t>
  </si>
  <si>
    <t>CAP CER 1UF 25V X5R 0603</t>
  </si>
  <si>
    <t>C3, C5, C7, C9, C11, C13, C15, C17, C20, C27, C29, C53, C55, C70, C72</t>
  </si>
  <si>
    <t>CC0603KRX5R8BB105</t>
  </si>
  <si>
    <t>CAP CER 220PF 50V C0G/NPO 0402</t>
  </si>
  <si>
    <t>C4, C6, C8, C10, C12, C14, C16, C18</t>
  </si>
  <si>
    <t>Cap0402</t>
  </si>
  <si>
    <t>CC0402JRNPO9BN221</t>
  </si>
  <si>
    <t>C19, C21, C22, C23, C24, C25, C26, C28, C30, C31, C32, C33, C34, C35, C37, C38, C39, C40, C41, C42, C54, C58, C59, C71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</si>
  <si>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</si>
  <si>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</si>
  <si>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</si>
  <si>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</si>
  <si>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</si>
  <si>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</si>
  <si>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</si>
  <si>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</si>
  <si>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</si>
  <si>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</si>
  <si>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</si>
  <si>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</si>
  <si>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</si>
  <si>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</si>
  <si>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</si>
  <si>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</si>
  <si>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</si>
  <si>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</si>
  <si>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</si>
  <si>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</si>
  <si>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</si>
  <si>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</si>
  <si>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</si>
  <si>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</si>
  <si>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</si>
  <si>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</si>
  <si>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R1, R2</t>
  </si>
  <si>
    <t>CRGH0603J100K</t>
  </si>
  <si>
    <t>RES SMD 10K OHM 1% 1/10W 0603</t>
  </si>
  <si>
    <t>R17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</si>
  <si>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</si>
  <si>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</si>
  <si>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</si>
  <si>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</si>
  <si>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</si>
  <si>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</si>
  <si>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</si>
  <si>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</si>
  <si>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</si>
  <si>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</si>
  <si>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</si>
  <si>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</si>
  <si>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</si>
  <si>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</si>
  <si>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</si>
  <si>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Rx Txrx Mod Wifi Trace Ant SMD</t>
  </si>
  <si>
    <t>U12</t>
  </si>
  <si>
    <t>ESP32-WROOM-32E(8MB)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</si>
  <si>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</si>
  <si>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</si>
  <si>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</si>
  <si>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</si>
  <si>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</si>
  <si>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</si>
  <si>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</si>
  <si>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</si>
  <si>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>SB1, SB2, SB3, SB8, SB9, SB10, SB11, SB12, SB13, SB14, SB15, SB16, SB17, SB18, SB19, SB20, SB21, SB22, SB23, SB24, SB25, SB26, SB27, SB28, SB29, SB30, SB32, SB34, SB35, SB36, SB37, SB38, SB40, SB41, SB42, SB44, SB45, SB46, SB47, SB48, SB49, SB50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</si>
  <si>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</si>
  <si>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</si>
  <si>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</si>
  <si>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</si>
  <si>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</si>
  <si>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</si>
  <si>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</si>
  <si>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</si>
  <si>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</si>
  <si>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</si>
  <si>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</si>
  <si>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</si>
  <si>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</si>
  <si>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</si>
  <si>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</si>
  <si>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</si>
  <si>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</si>
  <si>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</si>
  <si>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</si>
  <si>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</si>
  <si>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</si>
  <si>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</si>
  <si>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</si>
  <si>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</si>
  <si>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</si>
  <si>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</si>
  <si>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Shipping Cost Not Added</t>
  </si>
  <si>
    <t>30TSSOP</t>
  </si>
  <si>
    <t>Espressif Systems</t>
  </si>
  <si>
    <t>C701342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</si>
  <si>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</si>
  <si>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</si>
  <si>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</si>
  <si>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</si>
  <si>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</si>
  <si>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</si>
  <si>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</si>
  <si>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</si>
  <si>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</si>
  <si>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</si>
  <si>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</si>
  <si>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</si>
  <si>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</si>
  <si>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</si>
  <si>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</si>
  <si>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</si>
  <si>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</si>
  <si>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10118194-0001LF</t>
  </si>
  <si>
    <t>USB 2.0 1 5 Female Micro-B SMD USB Connectors ROHS</t>
  </si>
  <si>
    <t>C132563</t>
  </si>
  <si>
    <t>Amphenol ICC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</si>
</sst>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6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95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10" fillId="0" borderId="7" xfId="0" applyFont="1" applyFill="1" applyBorder="1" applyAlignment="1">
      <alignment horizontal="center" vertical="center"/>
    </xf>
    <xf numFmtId="165" fontId="10" fillId="0" borderId="13" xfId="0" applyNumberFormat="1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165" fontId="10" fillId="0" borderId="14" xfId="0" applyNumberFormat="1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5" fontId="10" fillId="0" borderId="15" xfId="0" applyNumberFormat="1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3" fillId="0" borderId="9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3" fillId="4" borderId="9" xfId="0" applyFont="1" applyFill="1" applyBorder="1" applyAlignment="1">
      <alignment horizontal="center" vertical="center"/>
    </xf>
    <xf numFmtId="166" fontId="14" fillId="0" borderId="9" xfId="0" applyNumberFormat="1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0" fontId="10" fillId="0" borderId="22" xfId="0" applyFont="1" applyFill="1" applyBorder="1" applyAlignment="1">
      <alignment horizontal="center" vertical="center"/>
    </xf>
    <xf numFmtId="0" fontId="10" fillId="0" borderId="20" xfId="0" applyFont="1" applyFill="1" applyBorder="1" applyAlignment="1">
      <alignment horizontal="center" vertical="center"/>
    </xf>
    <xf numFmtId="165" fontId="10" fillId="0" borderId="27" xfId="0" applyNumberFormat="1" applyFont="1" applyFill="1" applyBorder="1" applyAlignment="1">
      <alignment horizontal="center" vertical="center"/>
    </xf>
    <xf numFmtId="165" fontId="13" fillId="0" borderId="14" xfId="0" applyNumberFormat="1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/>
    </xf>
    <xf numFmtId="0" fontId="0" fillId="0" borderId="17" xfId="0" applyFill="1" applyBorder="1" applyAlignment="1"/>
    <xf numFmtId="165" fontId="13" fillId="0" borderId="9" xfId="0" applyNumberFormat="1" applyFont="1" applyFill="1" applyBorder="1" applyAlignment="1">
      <alignment horizontal="center" vertical="center"/>
    </xf>
    <xf numFmtId="165" fontId="10" fillId="0" borderId="29" xfId="0" applyNumberFormat="1" applyFont="1" applyFill="1" applyBorder="1" applyAlignment="1">
      <alignment horizontal="center" vertical="center"/>
    </xf>
    <xf numFmtId="165" fontId="13" fillId="0" borderId="24" xfId="0" applyNumberFormat="1" applyFont="1" applyFill="1" applyBorder="1" applyAlignment="1">
      <alignment horizontal="center" vertical="center"/>
    </xf>
    <xf numFmtId="0" fontId="0" fillId="0" borderId="16" xfId="0" applyFill="1" applyBorder="1" applyAlignment="1"/>
    <xf numFmtId="165" fontId="10" fillId="0" borderId="13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165" fontId="9" fillId="7" borderId="27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9" xfId="0" applyNumberFormat="1" applyFont="1" applyFill="1" applyBorder="1" applyAlignment="1">
      <alignment horizontal="center" vertical="center"/>
    </xf>
    <xf numFmtId="0" fontId="0" fillId="0" borderId="7" xfId="0" applyFill="1" applyBorder="1" applyAlignment="1"/>
    <xf numFmtId="165" fontId="4" fillId="0" borderId="13" xfId="0" applyNumberFormat="1" applyFon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8" fillId="0" borderId="7" xfId="0" quotePrefix="1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0" fontId="18" fillId="4" borderId="7" xfId="0" quotePrefix="1" applyFont="1" applyFill="1" applyBorder="1" applyAlignment="1">
      <alignment horizontal="center" vertical="center"/>
    </xf>
    <xf numFmtId="0" fontId="19" fillId="0" borderId="7" xfId="0" quotePrefix="1" applyFont="1" applyFill="1" applyBorder="1" applyAlignment="1">
      <alignment horizontal="center" vertical="center"/>
    </xf>
    <xf numFmtId="0" fontId="19" fillId="0" borderId="7" xfId="0" applyFont="1" applyFill="1" applyBorder="1" applyAlignment="1">
      <alignment horizontal="center" vertical="center"/>
    </xf>
    <xf numFmtId="164" fontId="18" fillId="0" borderId="7" xfId="0" applyNumberFormat="1" applyFont="1" applyFill="1" applyBorder="1" applyAlignment="1">
      <alignment horizontal="center" vertical="center"/>
    </xf>
    <xf numFmtId="164" fontId="19" fillId="0" borderId="7" xfId="0" applyNumberFormat="1" applyFont="1" applyFill="1" applyBorder="1" applyAlignment="1">
      <alignment horizontal="center" vertical="center"/>
    </xf>
    <xf numFmtId="0" fontId="18" fillId="0" borderId="12" xfId="0" quotePrefix="1" applyFon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  <xf numFmtId="0" fontId="18" fillId="4" borderId="9" xfId="0" quotePrefix="1" applyFont="1" applyFill="1" applyBorder="1" applyAlignment="1">
      <alignment horizontal="center" vertical="center"/>
    </xf>
    <xf numFmtId="0" fontId="19" fillId="0" borderId="9" xfId="0" quotePrefix="1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center" vertical="center"/>
    </xf>
    <xf numFmtId="164" fontId="18" fillId="0" borderId="9" xfId="0" applyNumberFormat="1" applyFont="1" applyFill="1" applyBorder="1" applyAlignment="1">
      <alignment horizontal="center" vertical="center"/>
    </xf>
    <xf numFmtId="164" fontId="19" fillId="0" borderId="12" xfId="0" applyNumberFormat="1" applyFont="1" applyFill="1" applyBorder="1" applyAlignment="1">
      <alignment horizontal="center" vertical="center"/>
    </xf>
    <xf numFmtId="0" fontId="18" fillId="0" borderId="9" xfId="0" quotePrefix="1" applyFont="1" applyFill="1" applyBorder="1" applyAlignment="1">
      <alignment horizontal="center" vertical="center"/>
    </xf>
    <xf numFmtId="0" fontId="19" fillId="4" borderId="9" xfId="0" applyFont="1" applyFill="1" applyBorder="1" applyAlignment="1">
      <alignment horizontal="center" vertical="center"/>
    </xf>
    <xf numFmtId="0" fontId="18" fillId="0" borderId="20" xfId="0" quotePrefix="1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8" fillId="4" borderId="20" xfId="0" quotePrefix="1" applyFont="1" applyFill="1" applyBorder="1" applyAlignment="1">
      <alignment horizontal="center" vertical="center"/>
    </xf>
    <xf numFmtId="0" fontId="19" fillId="0" borderId="17" xfId="0" applyFont="1" applyFill="1" applyBorder="1" applyAlignment="1">
      <alignment horizontal="center" vertical="center"/>
    </xf>
    <xf numFmtId="164" fontId="18" fillId="0" borderId="20" xfId="0" applyNumberFormat="1" applyFont="1" applyFill="1" applyBorder="1" applyAlignment="1">
      <alignment horizontal="center" vertical="center"/>
    </xf>
    <xf numFmtId="164" fontId="19" fillId="0" borderId="17" xfId="0" applyNumberFormat="1" applyFont="1" applyFill="1" applyBorder="1" applyAlignment="1">
      <alignment horizontal="center" vertical="center"/>
    </xf>
    <xf numFmtId="0" fontId="18" fillId="0" borderId="24" xfId="0" quotePrefix="1" applyFont="1" applyFill="1" applyBorder="1" applyAlignment="1">
      <alignment horizontal="center" vertical="center"/>
    </xf>
    <xf numFmtId="0" fontId="18" fillId="4" borderId="24" xfId="0" quotePrefix="1" applyFont="1" applyFill="1" applyBorder="1" applyAlignment="1">
      <alignment horizontal="center" vertical="center"/>
    </xf>
    <xf numFmtId="0" fontId="19" fillId="4" borderId="24" xfId="0" quotePrefix="1" applyFont="1" applyFill="1" applyBorder="1" applyAlignment="1">
      <alignment horizontal="center" vertical="center"/>
    </xf>
    <xf numFmtId="0" fontId="19" fillId="0" borderId="24" xfId="0" quotePrefix="1" applyFont="1" applyFill="1" applyBorder="1" applyAlignment="1">
      <alignment horizontal="center" vertical="center"/>
    </xf>
    <xf numFmtId="0" fontId="19" fillId="0" borderId="24" xfId="0" applyFont="1" applyFill="1" applyBorder="1" applyAlignment="1">
      <alignment horizontal="center" vertical="center"/>
    </xf>
    <xf numFmtId="164" fontId="18" fillId="0" borderId="24" xfId="0" applyNumberFormat="1" applyFont="1" applyFill="1" applyBorder="1" applyAlignment="1">
      <alignment horizontal="center" vertical="center"/>
    </xf>
    <xf numFmtId="164" fontId="19" fillId="0" borderId="24" xfId="0" applyNumberFormat="1" applyFont="1" applyFill="1" applyBorder="1" applyAlignment="1">
      <alignment horizontal="center" vertical="center"/>
    </xf>
    <xf numFmtId="0" fontId="18" fillId="0" borderId="22" xfId="0" quotePrefix="1" applyFont="1" applyFill="1" applyBorder="1" applyAlignment="1">
      <alignment horizontal="center" vertical="center"/>
    </xf>
    <xf numFmtId="0" fontId="18" fillId="4" borderId="22" xfId="0" applyFont="1" applyFill="1" applyBorder="1" applyAlignment="1">
      <alignment horizontal="center" vertical="center"/>
    </xf>
    <xf numFmtId="0" fontId="18" fillId="4" borderId="22" xfId="0" quotePrefix="1" applyFont="1" applyFill="1" applyBorder="1" applyAlignment="1">
      <alignment horizontal="center" vertical="center"/>
    </xf>
    <xf numFmtId="0" fontId="19" fillId="0" borderId="22" xfId="0" quotePrefix="1" applyFont="1" applyFill="1" applyBorder="1" applyAlignment="1">
      <alignment horizontal="center" vertical="center"/>
    </xf>
    <xf numFmtId="0" fontId="19" fillId="0" borderId="22" xfId="0" applyFont="1" applyFill="1" applyBorder="1" applyAlignment="1">
      <alignment horizontal="center" vertical="center"/>
    </xf>
    <xf numFmtId="164" fontId="18" fillId="0" borderId="22" xfId="0" applyNumberFormat="1" applyFont="1" applyFill="1" applyBorder="1" applyAlignment="1">
      <alignment horizontal="center" vertical="center"/>
    </xf>
    <xf numFmtId="164" fontId="19" fillId="0" borderId="22" xfId="0" applyNumberFormat="1" applyFont="1" applyFill="1" applyBorder="1" applyAlignment="1">
      <alignment horizontal="center" vertical="center"/>
    </xf>
    <xf numFmtId="0" fontId="18" fillId="0" borderId="7" xfId="0" quotePrefix="1" applyFont="1" applyFill="1" applyBorder="1" applyAlignment="1">
      <alignment horizontal="center" vertical="center" wrapText="1"/>
    </xf>
    <xf numFmtId="0" fontId="18" fillId="4" borderId="7" xfId="0" applyFont="1" applyFill="1" applyBorder="1" applyAlignment="1">
      <alignment horizontal="center" vertical="center" wrapText="1"/>
    </xf>
    <xf numFmtId="0" fontId="18" fillId="4" borderId="7" xfId="0" quotePrefix="1" applyFont="1" applyFill="1" applyBorder="1" applyAlignment="1">
      <alignment horizontal="center" vertical="center" wrapText="1"/>
    </xf>
    <xf numFmtId="0" fontId="19" fillId="0" borderId="7" xfId="0" quotePrefix="1" applyFont="1" applyFill="1" applyBorder="1" applyAlignment="1">
      <alignment horizontal="center" vertical="center" wrapText="1"/>
    </xf>
    <xf numFmtId="0" fontId="19" fillId="0" borderId="7" xfId="0" applyFont="1" applyFill="1" applyBorder="1" applyAlignment="1">
      <alignment horizontal="center" vertical="center" wrapText="1"/>
    </xf>
    <xf numFmtId="164" fontId="18" fillId="0" borderId="7" xfId="0" applyNumberFormat="1" applyFont="1" applyFill="1" applyBorder="1" applyAlignment="1">
      <alignment horizontal="center" vertical="center" wrapText="1"/>
    </xf>
    <xf numFmtId="164" fontId="19" fillId="0" borderId="7" xfId="0" applyNumberFormat="1" applyFont="1" applyFill="1" applyBorder="1" applyAlignment="1">
      <alignment horizontal="center" vertical="center" wrapText="1"/>
    </xf>
    <xf numFmtId="0" fontId="18" fillId="0" borderId="11" xfId="0" quotePrefix="1" applyFont="1" applyFill="1" applyBorder="1" applyAlignment="1">
      <alignment horizontal="center" vertical="center"/>
    </xf>
    <xf numFmtId="0" fontId="18" fillId="4" borderId="11" xfId="0" applyFont="1" applyFill="1" applyBorder="1" applyAlignment="1">
      <alignment horizontal="center" vertical="center"/>
    </xf>
    <xf numFmtId="0" fontId="18" fillId="4" borderId="11" xfId="0" quotePrefix="1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164" fontId="18" fillId="0" borderId="11" xfId="0" applyNumberFormat="1" applyFont="1" applyFill="1" applyBorder="1" applyAlignment="1">
      <alignment horizontal="center" vertical="center"/>
    </xf>
    <xf numFmtId="0" fontId="19" fillId="4" borderId="7" xfId="0" quotePrefix="1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165" fontId="19" fillId="0" borderId="9" xfId="0" applyNumberFormat="1" applyFont="1" applyFill="1" applyBorder="1" applyAlignment="1">
      <alignment horizontal="center" vertical="center"/>
    </xf>
    <xf numFmtId="0" fontId="18" fillId="0" borderId="7" xfId="0" applyFont="1" applyFill="1" applyBorder="1" applyAlignment="1">
      <alignment horizontal="center" vertical="center"/>
    </xf>
    <xf numFmtId="0" fontId="19" fillId="6" borderId="7" xfId="0" applyFont="1" applyFill="1" applyBorder="1" applyAlignment="1">
      <alignment horizontal="center" vertical="center"/>
    </xf>
    <xf numFmtId="0" fontId="19" fillId="6" borderId="9" xfId="0" applyFont="1" applyFill="1" applyBorder="1" applyAlignment="1">
      <alignment horizontal="center" vertical="center"/>
    </xf>
    <xf numFmtId="0" fontId="21" fillId="7" borderId="20" xfId="1" quotePrefix="1" applyFont="1" applyFill="1" applyBorder="1" applyAlignment="1">
      <alignment horizontal="center" vertical="center"/>
    </xf>
    <xf numFmtId="164" fontId="22" fillId="7" borderId="20" xfId="0" quotePrefix="1" applyNumberFormat="1" applyFont="1" applyFill="1" applyBorder="1" applyAlignment="1">
      <alignment horizontal="center" vertical="center"/>
    </xf>
    <xf numFmtId="164" fontId="22" fillId="7" borderId="17" xfId="0" quotePrefix="1" applyNumberFormat="1" applyFont="1" applyFill="1" applyBorder="1" applyAlignment="1">
      <alignment horizontal="center" vertical="center"/>
    </xf>
    <xf numFmtId="0" fontId="22" fillId="7" borderId="20" xfId="0" applyFont="1" applyFill="1" applyBorder="1" applyAlignment="1">
      <alignment horizontal="center" vertical="center"/>
    </xf>
    <xf numFmtId="0" fontId="22" fillId="0" borderId="17" xfId="0" applyFont="1" applyFill="1" applyBorder="1" applyAlignment="1">
      <alignment horizontal="center" vertical="center"/>
    </xf>
    <xf numFmtId="0" fontId="19" fillId="0" borderId="6" xfId="0" quotePrefix="1" applyFont="1" applyBorder="1" applyAlignment="1">
      <alignment horizontal="left" vertical="center"/>
    </xf>
    <xf numFmtId="0" fontId="19" fillId="0" borderId="7" xfId="0" quotePrefix="1" applyFont="1" applyBorder="1" applyAlignment="1">
      <alignment horizontal="center" vertical="center"/>
    </xf>
    <xf numFmtId="0" fontId="19" fillId="0" borderId="7" xfId="0" quotePrefix="1" applyFont="1" applyBorder="1" applyAlignment="1">
      <alignment horizontal="center"/>
    </xf>
    <xf numFmtId="0" fontId="19" fillId="0" borderId="7" xfId="0" applyFont="1" applyBorder="1" applyAlignment="1">
      <alignment horizontal="center" vertical="center"/>
    </xf>
    <xf numFmtId="164" fontId="23" fillId="0" borderId="7" xfId="1" applyNumberFormat="1" applyFont="1" applyBorder="1" applyAlignment="1">
      <alignment horizontal="center" vertical="center"/>
    </xf>
    <xf numFmtId="0" fontId="19" fillId="0" borderId="8" xfId="0" quotePrefix="1" applyFont="1" applyBorder="1" applyAlignment="1">
      <alignment horizontal="left" vertical="center"/>
    </xf>
    <xf numFmtId="0" fontId="19" fillId="0" borderId="9" xfId="0" quotePrefix="1" applyFont="1" applyBorder="1" applyAlignment="1">
      <alignment horizontal="center" vertical="center"/>
    </xf>
    <xf numFmtId="0" fontId="19" fillId="0" borderId="9" xfId="0" quotePrefix="1" applyFont="1" applyBorder="1" applyAlignment="1">
      <alignment horizontal="center"/>
    </xf>
    <xf numFmtId="0" fontId="19" fillId="0" borderId="9" xfId="0" applyFont="1" applyBorder="1" applyAlignment="1">
      <alignment horizontal="center" vertical="center"/>
    </xf>
    <xf numFmtId="164" fontId="23" fillId="0" borderId="9" xfId="1" applyNumberFormat="1" applyFont="1" applyBorder="1" applyAlignment="1">
      <alignment horizontal="center" vertical="center"/>
    </xf>
    <xf numFmtId="0" fontId="19" fillId="0" borderId="9" xfId="0" quotePrefix="1" applyFont="1" applyBorder="1" applyAlignment="1">
      <alignment horizontal="center" vertical="center" wrapText="1"/>
    </xf>
    <xf numFmtId="0" fontId="23" fillId="0" borderId="9" xfId="1" quotePrefix="1" applyFont="1" applyBorder="1" applyAlignment="1">
      <alignment horizontal="center" vertical="center"/>
    </xf>
    <xf numFmtId="0" fontId="19" fillId="0" borderId="26" xfId="0" quotePrefix="1" applyFont="1" applyBorder="1" applyAlignment="1">
      <alignment horizontal="left" vertical="center"/>
    </xf>
    <xf numFmtId="0" fontId="19" fillId="0" borderId="20" xfId="0" quotePrefix="1" applyFont="1" applyBorder="1" applyAlignment="1">
      <alignment horizontal="center" vertical="center" wrapText="1"/>
    </xf>
    <xf numFmtId="0" fontId="19" fillId="0" borderId="20" xfId="0" quotePrefix="1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164" fontId="23" fillId="0" borderId="20" xfId="1" applyNumberFormat="1" applyFont="1" applyBorder="1" applyAlignment="1">
      <alignment horizontal="center" vertical="center"/>
    </xf>
    <xf numFmtId="0" fontId="19" fillId="0" borderId="30" xfId="0" quotePrefix="1" applyFont="1" applyBorder="1" applyAlignment="1">
      <alignment vertical="center"/>
    </xf>
    <xf numFmtId="0" fontId="19" fillId="0" borderId="24" xfId="0" quotePrefix="1" applyFont="1" applyBorder="1" applyAlignment="1">
      <alignment horizontal="center" vertical="center" wrapText="1"/>
    </xf>
    <xf numFmtId="0" fontId="19" fillId="0" borderId="24" xfId="0" quotePrefix="1" applyFont="1" applyBorder="1" applyAlignment="1">
      <alignment horizontal="center" vertical="center"/>
    </xf>
    <xf numFmtId="0" fontId="23" fillId="0" borderId="24" xfId="1" quotePrefix="1" applyFont="1" applyBorder="1" applyAlignment="1">
      <alignment horizontal="center" vertical="center"/>
    </xf>
    <xf numFmtId="0" fontId="19" fillId="0" borderId="28" xfId="0" quotePrefix="1" applyFont="1" applyBorder="1" applyAlignment="1">
      <alignment vertical="center" wrapText="1"/>
    </xf>
    <xf numFmtId="0" fontId="19" fillId="0" borderId="22" xfId="0" quotePrefix="1" applyFont="1" applyBorder="1" applyAlignment="1">
      <alignment horizontal="center" vertical="center" wrapText="1"/>
    </xf>
    <xf numFmtId="0" fontId="19" fillId="0" borderId="22" xfId="0" quotePrefix="1" applyFont="1" applyBorder="1" applyAlignment="1">
      <alignment horizontal="center" vertical="center"/>
    </xf>
    <xf numFmtId="0" fontId="23" fillId="0" borderId="22" xfId="1" quotePrefix="1" applyFont="1" applyBorder="1" applyAlignment="1">
      <alignment horizontal="center" vertical="center"/>
    </xf>
    <xf numFmtId="0" fontId="19" fillId="0" borderId="6" xfId="0" quotePrefix="1" applyFont="1" applyBorder="1" applyAlignment="1">
      <alignment vertical="center" wrapText="1"/>
    </xf>
    <xf numFmtId="0" fontId="19" fillId="0" borderId="7" xfId="0" quotePrefix="1" applyFont="1" applyBorder="1" applyAlignment="1">
      <alignment horizontal="center" vertical="center" wrapText="1"/>
    </xf>
    <xf numFmtId="0" fontId="23" fillId="4" borderId="7" xfId="1" quotePrefix="1" applyFont="1" applyFill="1" applyBorder="1" applyAlignment="1">
      <alignment horizontal="center" vertical="center" wrapText="1"/>
    </xf>
    <xf numFmtId="0" fontId="19" fillId="0" borderId="10" xfId="0" quotePrefix="1" applyFont="1" applyBorder="1" applyAlignment="1">
      <alignment vertical="center" wrapText="1"/>
    </xf>
    <xf numFmtId="0" fontId="19" fillId="0" borderId="11" xfId="0" quotePrefix="1" applyFont="1" applyBorder="1" applyAlignment="1">
      <alignment horizontal="center" vertical="center" wrapText="1"/>
    </xf>
    <xf numFmtId="0" fontId="19" fillId="0" borderId="11" xfId="0" quotePrefix="1" applyFont="1" applyBorder="1" applyAlignment="1">
      <alignment horizontal="center" vertical="center"/>
    </xf>
    <xf numFmtId="0" fontId="23" fillId="0" borderId="11" xfId="1" quotePrefix="1" applyFont="1" applyBorder="1" applyAlignment="1">
      <alignment horizontal="center" vertical="center"/>
    </xf>
    <xf numFmtId="0" fontId="22" fillId="0" borderId="7" xfId="0" quotePrefix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7" xfId="1" quotePrefix="1" applyFont="1" applyBorder="1" applyAlignment="1">
      <alignment horizontal="center" vertical="center"/>
    </xf>
    <xf numFmtId="0" fontId="19" fillId="0" borderId="8" xfId="0" quotePrefix="1" applyFont="1" applyBorder="1" applyAlignment="1">
      <alignment vertical="center" wrapText="1"/>
    </xf>
    <xf numFmtId="0" fontId="23" fillId="0" borderId="9" xfId="1" quotePrefix="1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3" fillId="0" borderId="11" xfId="1" quotePrefix="1" applyFont="1" applyFill="1" applyBorder="1" applyAlignment="1">
      <alignment horizontal="center" vertical="center"/>
    </xf>
    <xf numFmtId="0" fontId="23" fillId="0" borderId="7" xfId="1" quotePrefix="1" applyFont="1" applyFill="1" applyBorder="1" applyAlignment="1">
      <alignment horizontal="center" vertical="center"/>
    </xf>
    <xf numFmtId="0" fontId="22" fillId="0" borderId="9" xfId="0" quotePrefix="1" applyFont="1" applyBorder="1" applyAlignment="1">
      <alignment horizontal="center" vertical="center"/>
    </xf>
    <xf numFmtId="0" fontId="22" fillId="7" borderId="26" xfId="0" quotePrefix="1" applyFont="1" applyFill="1" applyBorder="1" applyAlignment="1">
      <alignment vertical="center" wrapText="1"/>
    </xf>
    <xf numFmtId="0" fontId="22" fillId="7" borderId="20" xfId="0" quotePrefix="1" applyFont="1" applyFill="1" applyBorder="1" applyAlignment="1">
      <alignment horizontal="center" vertical="center" wrapText="1"/>
    </xf>
    <xf numFmtId="0" fontId="22" fillId="7" borderId="20" xfId="0" quotePrefix="1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19" fillId="8" borderId="8" xfId="0" quotePrefix="1" applyFont="1" applyFill="1" applyBorder="1" applyAlignment="1">
      <alignment vertical="center" wrapText="1"/>
    </xf>
    <xf numFmtId="0" fontId="19" fillId="8" borderId="9" xfId="0" quotePrefix="1" applyFont="1" applyFill="1" applyBorder="1" applyAlignment="1">
      <alignment horizontal="center" vertical="center" wrapText="1"/>
    </xf>
    <xf numFmtId="0" fontId="19" fillId="8" borderId="9" xfId="0" quotePrefix="1" applyFont="1" applyFill="1" applyBorder="1" applyAlignment="1">
      <alignment horizontal="center" vertical="center"/>
    </xf>
    <xf numFmtId="0" fontId="18" fillId="8" borderId="9" xfId="0" quotePrefix="1" applyFont="1" applyFill="1" applyBorder="1" applyAlignment="1">
      <alignment horizontal="center" vertical="center"/>
    </xf>
    <xf numFmtId="0" fontId="19" fillId="8" borderId="9" xfId="0" applyFont="1" applyFill="1" applyBorder="1" applyAlignment="1">
      <alignment horizontal="center" vertical="center"/>
    </xf>
    <xf numFmtId="0" fontId="19" fillId="8" borderId="12" xfId="0" applyFont="1" applyFill="1" applyBorder="1" applyAlignment="1">
      <alignment horizontal="center" vertical="center"/>
    </xf>
    <xf numFmtId="0" fontId="20" fillId="8" borderId="9" xfId="1" quotePrefix="1" applyFont="1" applyFill="1" applyBorder="1" applyAlignment="1">
      <alignment horizontal="center" vertical="center"/>
    </xf>
    <xf numFmtId="164" fontId="19" fillId="8" borderId="12" xfId="0" applyNumberFormat="1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165" fontId="10" fillId="8" borderId="14" xfId="0" applyNumberFormat="1" applyFont="1" applyFill="1" applyBorder="1" applyAlignment="1">
      <alignment horizontal="center" vertical="center"/>
    </xf>
    <xf numFmtId="0" fontId="24" fillId="4" borderId="23" xfId="0" quotePrefix="1" applyFont="1" applyFill="1" applyBorder="1" applyAlignment="1">
      <alignment vertical="center" wrapText="1"/>
    </xf>
    <xf numFmtId="0" fontId="24" fillId="4" borderId="24" xfId="0" quotePrefix="1" applyFont="1" applyFill="1" applyBorder="1" applyAlignment="1">
      <alignment horizontal="center" vertical="center" wrapText="1"/>
    </xf>
    <xf numFmtId="0" fontId="21" fillId="4" borderId="24" xfId="1" quotePrefix="1" applyFont="1" applyFill="1" applyBorder="1" applyAlignment="1">
      <alignment horizontal="center" vertical="center"/>
    </xf>
    <xf numFmtId="164" fontId="22" fillId="4" borderId="24" xfId="0" quotePrefix="1" applyNumberFormat="1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 wrapText="1"/>
    </xf>
    <xf numFmtId="165" fontId="9" fillId="4" borderId="25" xfId="0" applyNumberFormat="1" applyFont="1" applyFill="1" applyBorder="1" applyAlignment="1">
      <alignment horizontal="center" vertical="center"/>
    </xf>
    <xf numFmtId="0" fontId="25" fillId="4" borderId="24" xfId="0" quotePrefix="1" applyFont="1" applyFill="1" applyBorder="1" applyAlignment="1">
      <alignment horizontal="center" vertical="center" wrapText="1"/>
    </xf>
    <xf numFmtId="0" fontId="15" fillId="0" borderId="32" xfId="0" applyFont="1" applyFill="1" applyBorder="1" applyAlignment="1">
      <alignment horizontal="center" vertical="center"/>
    </xf>
    <xf numFmtId="0" fontId="15" fillId="0" borderId="12" xfId="0" applyFont="1" applyFill="1" applyBorder="1" applyAlignment="1">
      <alignment horizontal="center" vertical="center"/>
    </xf>
    <xf numFmtId="0" fontId="15" fillId="0" borderId="33" xfId="0" applyFont="1" applyFill="1" applyBorder="1" applyAlignment="1">
      <alignment horizontal="center" vertical="center"/>
    </xf>
    <xf numFmtId="0" fontId="15" fillId="0" borderId="1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5" fillId="0" borderId="31" xfId="0" applyFont="1" applyFill="1" applyBorder="1" applyAlignment="1">
      <alignment horizontal="center"/>
    </xf>
    <xf numFmtId="0" fontId="15" fillId="0" borderId="7" xfId="0" applyFont="1" applyFill="1" applyBorder="1" applyAlignment="1">
      <alignment horizontal="center"/>
    </xf>
    <xf numFmtId="0" fontId="15" fillId="0" borderId="33" xfId="0" applyFont="1" applyFill="1" applyBorder="1" applyAlignment="1">
      <alignment horizontal="center"/>
    </xf>
    <xf numFmtId="0" fontId="15" fillId="0" borderId="11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165" fontId="19" fillId="0" borderId="0" xfId="0" applyNumberFormat="1" applyFont="1" applyAlignment="1">
      <alignment horizontal="center" vertical="center"/>
    </xf>
    <xf numFmtId="0" fontId="8" fillId="0" borderId="9" xfId="1" quotePrefix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684_C2838708.html" TargetMode="External"/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Digital-Transistors_Changjiang-Electronics-Tech-CJ-UMH3N_C62892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21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Fi-Modules_Espressif-Systems-ESP32-WROOM-32E-8MB_C701342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www.alibaba.com/product-detail/ADS131M08IPBSR-IC-CHIP-24-Bit-Analog_1600458492606.html?spm=a2700.galleryofferlist.normal_offer.d_title.166135edVJbNHe" TargetMode="External"/><Relationship Id="rId20" Type="http://schemas.openxmlformats.org/officeDocument/2006/relationships/hyperlink" Target="https://lcsc.com/product-detail/Wire-To-Board-Wire-To-Wire-Connector_DEALON-XHB-2A_C2904969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Linear-Voltage-Regulators-LDO_Torex-Semicon-XC6220B331MR-G_C86534.html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lcsc.com/product-detail/span-style-background-color-ff0-Pin-span-Headers_PINREX-210-91-05GB03_C390683.html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Power-Distribution-Switches_Texas-Instruments-LM66100DCKR_C2869734.html" TargetMode="External"/><Relationship Id="rId22" Type="http://schemas.openxmlformats.org/officeDocument/2006/relationships/hyperlink" Target="https://lcsc.com/product-detail/USB-Connectors_Amphenol-ICC-10118194-0001LF_C13256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5"/>
  <sheetViews>
    <sheetView tabSelected="1" topLeftCell="I12" workbookViewId="0">
      <selection activeCell="N17" sqref="N17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20" customWidth="1"/>
    <col min="4" max="4" width="33.140625" style="27" customWidth="1"/>
    <col min="5" max="5" width="21" style="2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11.85546875" style="1" bestFit="1" customWidth="1"/>
    <col min="10" max="10" width="6.42578125" style="2" bestFit="1" customWidth="1"/>
    <col min="11" max="11" width="14.85546875" style="1" bestFit="1" customWidth="1"/>
    <col min="12" max="12" width="21.85546875" style="1" customWidth="1"/>
    <col min="13" max="13" width="11.42578125" style="1" bestFit="1" customWidth="1"/>
    <col min="14" max="14" width="17" style="1" customWidth="1"/>
    <col min="15" max="15" width="12.42578125" style="1" bestFit="1" customWidth="1"/>
    <col min="16" max="16" width="13.5703125" style="1" bestFit="1" customWidth="1"/>
    <col min="17" max="17" width="20.7109375" style="1" bestFit="1" customWidth="1"/>
    <col min="18" max="18" width="49.7109375" style="1" bestFit="1" customWidth="1"/>
    <col min="19" max="16384" width="9" style="1"/>
  </cols>
  <sheetData>
    <row r="1" spans="1:19" ht="16.5" thickBot="1">
      <c r="A1" s="183" t="s">
        <v>163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5"/>
    </row>
    <row r="2" spans="1:19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48</v>
      </c>
      <c r="L2" s="5" t="s">
        <v>10</v>
      </c>
      <c r="M2" s="5" t="s">
        <v>45</v>
      </c>
      <c r="N2" s="5" t="s">
        <v>11</v>
      </c>
      <c r="O2" s="4" t="s">
        <v>46</v>
      </c>
      <c r="P2" s="5" t="s">
        <v>47</v>
      </c>
      <c r="Q2" s="5" t="s">
        <v>12</v>
      </c>
      <c r="R2" s="5" t="s">
        <v>13</v>
      </c>
    </row>
    <row r="3" spans="1:19" ht="15.75" thickBot="1">
      <c r="A3" s="6">
        <v>1</v>
      </c>
      <c r="B3" s="190" t="s">
        <v>14</v>
      </c>
      <c r="C3" s="115" t="s">
        <v>49</v>
      </c>
      <c r="D3" s="116" t="s">
        <v>50</v>
      </c>
      <c r="E3" s="117" t="s">
        <v>51</v>
      </c>
      <c r="F3" s="117" t="s">
        <v>52</v>
      </c>
      <c r="G3" s="54" t="s">
        <v>121</v>
      </c>
      <c r="H3" s="55" t="s">
        <v>122</v>
      </c>
      <c r="I3" s="56" t="s">
        <v>39</v>
      </c>
      <c r="J3" s="116" t="s">
        <v>20</v>
      </c>
      <c r="K3" s="57">
        <v>20</v>
      </c>
      <c r="L3" s="118">
        <v>3</v>
      </c>
      <c r="M3" s="58">
        <f>L3*5</f>
        <v>15</v>
      </c>
      <c r="N3" s="119" t="s">
        <v>16</v>
      </c>
      <c r="O3" s="59">
        <v>2.58E-2</v>
      </c>
      <c r="P3" s="60">
        <f>O3*K3</f>
        <v>0.51600000000000001</v>
      </c>
      <c r="Q3" s="12"/>
      <c r="R3" s="13"/>
    </row>
    <row r="4" spans="1:19" ht="15.75" thickBot="1">
      <c r="A4" s="6">
        <v>2</v>
      </c>
      <c r="B4" s="191"/>
      <c r="C4" s="120" t="s">
        <v>21</v>
      </c>
      <c r="D4" s="121" t="s">
        <v>53</v>
      </c>
      <c r="E4" s="122" t="s">
        <v>51</v>
      </c>
      <c r="F4" s="122" t="s">
        <v>54</v>
      </c>
      <c r="G4" s="61" t="s">
        <v>121</v>
      </c>
      <c r="H4" s="62" t="s">
        <v>123</v>
      </c>
      <c r="I4" s="63" t="s">
        <v>39</v>
      </c>
      <c r="J4" s="121" t="s">
        <v>72</v>
      </c>
      <c r="K4" s="64">
        <v>20</v>
      </c>
      <c r="L4" s="123">
        <v>1</v>
      </c>
      <c r="M4" s="65">
        <f t="shared" ref="M4:M27" si="0">L4*5</f>
        <v>5</v>
      </c>
      <c r="N4" s="124" t="s">
        <v>16</v>
      </c>
      <c r="O4" s="66">
        <v>2.0299999999999999E-2</v>
      </c>
      <c r="P4" s="67">
        <f t="shared" ref="P4:P25" si="1">O4*K4</f>
        <v>0.40599999999999997</v>
      </c>
      <c r="Q4" s="14"/>
      <c r="R4" s="15"/>
    </row>
    <row r="5" spans="1:19" ht="26.25" thickBot="1">
      <c r="A5" s="6">
        <v>3</v>
      </c>
      <c r="B5" s="191"/>
      <c r="C5" s="120" t="s">
        <v>55</v>
      </c>
      <c r="D5" s="125" t="s">
        <v>56</v>
      </c>
      <c r="E5" s="121" t="s">
        <v>51</v>
      </c>
      <c r="F5" s="121" t="s">
        <v>57</v>
      </c>
      <c r="G5" s="68" t="s">
        <v>124</v>
      </c>
      <c r="H5" s="62" t="s">
        <v>125</v>
      </c>
      <c r="I5" s="63" t="s">
        <v>39</v>
      </c>
      <c r="J5" s="121" t="s">
        <v>15</v>
      </c>
      <c r="K5" s="64">
        <v>100</v>
      </c>
      <c r="L5" s="123">
        <v>15</v>
      </c>
      <c r="M5" s="65">
        <f t="shared" si="0"/>
        <v>75</v>
      </c>
      <c r="N5" s="124" t="s">
        <v>16</v>
      </c>
      <c r="O5" s="66">
        <v>7.3000000000000001E-3</v>
      </c>
      <c r="P5" s="67">
        <f t="shared" si="1"/>
        <v>0.73</v>
      </c>
      <c r="Q5" s="14"/>
      <c r="R5" s="15"/>
      <c r="S5" s="11"/>
    </row>
    <row r="6" spans="1:19" ht="15.75" thickBot="1">
      <c r="A6" s="6">
        <v>4</v>
      </c>
      <c r="B6" s="191"/>
      <c r="C6" s="120" t="s">
        <v>58</v>
      </c>
      <c r="D6" s="121" t="s">
        <v>59</v>
      </c>
      <c r="E6" s="122" t="s">
        <v>60</v>
      </c>
      <c r="F6" s="122" t="s">
        <v>61</v>
      </c>
      <c r="G6" s="68" t="s">
        <v>124</v>
      </c>
      <c r="H6" s="62" t="s">
        <v>126</v>
      </c>
      <c r="I6" s="63" t="s">
        <v>39</v>
      </c>
      <c r="J6" s="121" t="s">
        <v>73</v>
      </c>
      <c r="K6" s="64">
        <v>100</v>
      </c>
      <c r="L6" s="123">
        <v>8</v>
      </c>
      <c r="M6" s="65">
        <f t="shared" si="0"/>
        <v>40</v>
      </c>
      <c r="N6" s="126" t="s">
        <v>16</v>
      </c>
      <c r="O6" s="66">
        <v>3.7000000000000002E-3</v>
      </c>
      <c r="P6" s="67">
        <f t="shared" si="1"/>
        <v>0.37</v>
      </c>
      <c r="Q6" s="14"/>
      <c r="R6" s="15"/>
      <c r="S6" s="11"/>
    </row>
    <row r="7" spans="1:19" ht="39" thickBot="1">
      <c r="A7" s="6">
        <v>5</v>
      </c>
      <c r="B7" s="191"/>
      <c r="C7" s="120" t="s">
        <v>17</v>
      </c>
      <c r="D7" s="125" t="s">
        <v>62</v>
      </c>
      <c r="E7" s="121" t="s">
        <v>51</v>
      </c>
      <c r="F7" s="121" t="s">
        <v>18</v>
      </c>
      <c r="G7" s="68" t="s">
        <v>124</v>
      </c>
      <c r="H7" s="62" t="s">
        <v>127</v>
      </c>
      <c r="I7" s="63" t="s">
        <v>39</v>
      </c>
      <c r="J7" s="121" t="s">
        <v>19</v>
      </c>
      <c r="K7" s="64">
        <v>150</v>
      </c>
      <c r="L7" s="123">
        <v>24</v>
      </c>
      <c r="M7" s="65">
        <f t="shared" si="0"/>
        <v>120</v>
      </c>
      <c r="N7" s="126" t="s">
        <v>16</v>
      </c>
      <c r="O7" s="66">
        <v>7.9000000000000008E-3</v>
      </c>
      <c r="P7" s="67">
        <f t="shared" si="1"/>
        <v>1.1850000000000001</v>
      </c>
      <c r="Q7" s="30"/>
      <c r="R7" s="15"/>
      <c r="S7" s="11"/>
    </row>
    <row r="8" spans="1:19" ht="15.75" thickBot="1">
      <c r="A8" s="6">
        <v>6</v>
      </c>
      <c r="B8" s="191"/>
      <c r="C8" s="120" t="s">
        <v>63</v>
      </c>
      <c r="D8" s="121" t="s">
        <v>64</v>
      </c>
      <c r="E8" s="122" t="s">
        <v>51</v>
      </c>
      <c r="F8" s="122" t="s">
        <v>65</v>
      </c>
      <c r="G8" s="68" t="s">
        <v>128</v>
      </c>
      <c r="H8" s="69" t="s">
        <v>129</v>
      </c>
      <c r="I8" s="63" t="s">
        <v>39</v>
      </c>
      <c r="J8" s="121" t="s">
        <v>74</v>
      </c>
      <c r="K8" s="68">
        <v>10</v>
      </c>
      <c r="L8" s="123">
        <v>1</v>
      </c>
      <c r="M8" s="65">
        <f t="shared" si="0"/>
        <v>5</v>
      </c>
      <c r="N8" s="126" t="s">
        <v>16</v>
      </c>
      <c r="O8" s="66">
        <v>4.4299999999999999E-2</v>
      </c>
      <c r="P8" s="67">
        <f t="shared" si="1"/>
        <v>0.443</v>
      </c>
      <c r="Q8" s="14"/>
      <c r="R8" s="15"/>
      <c r="S8" s="11"/>
    </row>
    <row r="9" spans="1:19" ht="15.75" thickBot="1">
      <c r="A9" s="6">
        <v>7</v>
      </c>
      <c r="B9" s="191"/>
      <c r="C9" s="120" t="s">
        <v>66</v>
      </c>
      <c r="D9" s="121" t="s">
        <v>67</v>
      </c>
      <c r="E9" s="122" t="s">
        <v>51</v>
      </c>
      <c r="F9" s="122" t="s">
        <v>68</v>
      </c>
      <c r="G9" s="68" t="s">
        <v>124</v>
      </c>
      <c r="H9" s="62" t="s">
        <v>130</v>
      </c>
      <c r="I9" s="63" t="s">
        <v>39</v>
      </c>
      <c r="J9" s="121" t="s">
        <v>75</v>
      </c>
      <c r="K9" s="68">
        <v>100</v>
      </c>
      <c r="L9" s="123">
        <v>6</v>
      </c>
      <c r="M9" s="65">
        <f t="shared" si="0"/>
        <v>30</v>
      </c>
      <c r="N9" s="124" t="s">
        <v>16</v>
      </c>
      <c r="O9" s="66">
        <v>3.2000000000000002E-3</v>
      </c>
      <c r="P9" s="67">
        <f t="shared" si="1"/>
        <v>0.32</v>
      </c>
      <c r="Q9" s="14"/>
      <c r="R9" s="15"/>
      <c r="S9" s="11"/>
    </row>
    <row r="10" spans="1:19" ht="26.25" thickBot="1">
      <c r="A10" s="6">
        <v>8</v>
      </c>
      <c r="B10" s="192"/>
      <c r="C10" s="127" t="s">
        <v>69</v>
      </c>
      <c r="D10" s="128" t="s">
        <v>70</v>
      </c>
      <c r="E10" s="129" t="s">
        <v>51</v>
      </c>
      <c r="F10" s="129" t="s">
        <v>71</v>
      </c>
      <c r="G10" s="70" t="s">
        <v>124</v>
      </c>
      <c r="H10" s="71" t="s">
        <v>131</v>
      </c>
      <c r="I10" s="72" t="s">
        <v>39</v>
      </c>
      <c r="J10" s="129" t="s">
        <v>76</v>
      </c>
      <c r="K10" s="70">
        <v>100</v>
      </c>
      <c r="L10" s="130">
        <v>16</v>
      </c>
      <c r="M10" s="73">
        <f t="shared" si="0"/>
        <v>80</v>
      </c>
      <c r="N10" s="131" t="s">
        <v>16</v>
      </c>
      <c r="O10" s="74">
        <v>1.7299999999999999E-2</v>
      </c>
      <c r="P10" s="75">
        <f t="shared" si="1"/>
        <v>1.73</v>
      </c>
      <c r="Q10" s="35"/>
      <c r="R10" s="36"/>
      <c r="S10" s="11"/>
    </row>
    <row r="11" spans="1:19" ht="26.25" thickBot="1">
      <c r="A11" s="6">
        <v>9</v>
      </c>
      <c r="B11" s="33" t="s">
        <v>80</v>
      </c>
      <c r="C11" s="132" t="s">
        <v>77</v>
      </c>
      <c r="D11" s="133" t="s">
        <v>78</v>
      </c>
      <c r="E11" s="134" t="s">
        <v>28</v>
      </c>
      <c r="F11" s="134" t="s">
        <v>79</v>
      </c>
      <c r="G11" s="76" t="s">
        <v>159</v>
      </c>
      <c r="H11" s="77" t="s">
        <v>157</v>
      </c>
      <c r="I11" s="78" t="s">
        <v>158</v>
      </c>
      <c r="J11" s="79" t="s">
        <v>22</v>
      </c>
      <c r="K11" s="79">
        <v>42</v>
      </c>
      <c r="L11" s="80">
        <v>8</v>
      </c>
      <c r="M11" s="80">
        <f t="shared" si="0"/>
        <v>40</v>
      </c>
      <c r="N11" s="135" t="s">
        <v>166</v>
      </c>
      <c r="O11" s="81">
        <v>3.68</v>
      </c>
      <c r="P11" s="82">
        <f t="shared" si="1"/>
        <v>154.56</v>
      </c>
      <c r="Q11" s="42" t="s">
        <v>146</v>
      </c>
      <c r="R11" s="43"/>
      <c r="S11" s="11"/>
    </row>
    <row r="12" spans="1:19" ht="26.25" thickBot="1">
      <c r="A12" s="6">
        <v>10</v>
      </c>
      <c r="B12" s="33" t="s">
        <v>26</v>
      </c>
      <c r="C12" s="136" t="s">
        <v>81</v>
      </c>
      <c r="D12" s="137" t="s">
        <v>27</v>
      </c>
      <c r="E12" s="138" t="s">
        <v>28</v>
      </c>
      <c r="F12" s="138" t="s">
        <v>82</v>
      </c>
      <c r="G12" s="83" t="s">
        <v>132</v>
      </c>
      <c r="H12" s="84" t="s">
        <v>133</v>
      </c>
      <c r="I12" s="85" t="s">
        <v>39</v>
      </c>
      <c r="J12" s="86" t="s">
        <v>22</v>
      </c>
      <c r="K12" s="86">
        <v>10</v>
      </c>
      <c r="L12" s="87">
        <v>1</v>
      </c>
      <c r="M12" s="87">
        <f t="shared" si="0"/>
        <v>5</v>
      </c>
      <c r="N12" s="139" t="s">
        <v>16</v>
      </c>
      <c r="O12" s="88">
        <v>6.0600000000000001E-2</v>
      </c>
      <c r="P12" s="89">
        <f t="shared" si="1"/>
        <v>0.60599999999999998</v>
      </c>
      <c r="Q12" s="34"/>
      <c r="R12" s="41"/>
      <c r="S12" s="11"/>
    </row>
    <row r="13" spans="1:19" ht="26.25" thickBot="1">
      <c r="A13" s="6">
        <v>11</v>
      </c>
      <c r="B13" s="190" t="s">
        <v>32</v>
      </c>
      <c r="C13" s="140" t="s">
        <v>83</v>
      </c>
      <c r="D13" s="141" t="s">
        <v>33</v>
      </c>
      <c r="E13" s="141" t="s">
        <v>28</v>
      </c>
      <c r="F13" s="141" t="s">
        <v>84</v>
      </c>
      <c r="G13" s="90" t="s">
        <v>134</v>
      </c>
      <c r="H13" s="91" t="s">
        <v>135</v>
      </c>
      <c r="I13" s="92" t="s">
        <v>39</v>
      </c>
      <c r="J13" s="93" t="s">
        <v>22</v>
      </c>
      <c r="K13" s="93">
        <v>7</v>
      </c>
      <c r="L13" s="94">
        <v>1</v>
      </c>
      <c r="M13" s="94">
        <f t="shared" si="0"/>
        <v>5</v>
      </c>
      <c r="N13" s="142" t="s">
        <v>16</v>
      </c>
      <c r="O13" s="95">
        <v>0.25650000000000001</v>
      </c>
      <c r="P13" s="96">
        <f>O13*K13</f>
        <v>1.7955000000000001</v>
      </c>
      <c r="Q13" s="18"/>
      <c r="R13" s="44"/>
      <c r="S13" s="11"/>
    </row>
    <row r="14" spans="1:19" ht="26.25" thickBot="1">
      <c r="A14" s="6">
        <v>12</v>
      </c>
      <c r="B14" s="192"/>
      <c r="C14" s="143" t="s">
        <v>85</v>
      </c>
      <c r="D14" s="144" t="s">
        <v>86</v>
      </c>
      <c r="E14" s="145" t="s">
        <v>28</v>
      </c>
      <c r="F14" s="145" t="s">
        <v>87</v>
      </c>
      <c r="G14" s="97" t="s">
        <v>136</v>
      </c>
      <c r="H14" s="98" t="s">
        <v>137</v>
      </c>
      <c r="I14" s="99" t="s">
        <v>39</v>
      </c>
      <c r="J14" s="100" t="s">
        <v>22</v>
      </c>
      <c r="K14" s="100">
        <v>7</v>
      </c>
      <c r="L14" s="101">
        <v>2</v>
      </c>
      <c r="M14" s="87">
        <f t="shared" si="0"/>
        <v>10</v>
      </c>
      <c r="N14" s="146" t="s">
        <v>16</v>
      </c>
      <c r="O14" s="102">
        <v>0.1215</v>
      </c>
      <c r="P14" s="89">
        <f t="shared" si="1"/>
        <v>0.85050000000000003</v>
      </c>
      <c r="Q14" s="16"/>
      <c r="R14" s="17"/>
      <c r="S14" s="11"/>
    </row>
    <row r="15" spans="1:19" ht="15.75" thickBot="1">
      <c r="A15" s="6">
        <v>13</v>
      </c>
      <c r="B15" s="190" t="s">
        <v>23</v>
      </c>
      <c r="C15" s="140" t="s">
        <v>88</v>
      </c>
      <c r="D15" s="141" t="s">
        <v>89</v>
      </c>
      <c r="E15" s="116" t="s">
        <v>24</v>
      </c>
      <c r="F15" s="147" t="s">
        <v>90</v>
      </c>
      <c r="G15" s="54" t="s">
        <v>140</v>
      </c>
      <c r="H15" s="55" t="s">
        <v>139</v>
      </c>
      <c r="I15" s="103" t="s">
        <v>138</v>
      </c>
      <c r="J15" s="116" t="s">
        <v>94</v>
      </c>
      <c r="K15" s="104">
        <v>100</v>
      </c>
      <c r="L15" s="104">
        <v>2</v>
      </c>
      <c r="M15" s="58">
        <f t="shared" si="0"/>
        <v>10</v>
      </c>
      <c r="N15" s="148" t="s">
        <v>16</v>
      </c>
      <c r="O15" s="59">
        <v>1E-3</v>
      </c>
      <c r="P15" s="60">
        <f t="shared" si="1"/>
        <v>0.1</v>
      </c>
      <c r="Q15" s="12"/>
      <c r="R15" s="13"/>
      <c r="S15" s="11"/>
    </row>
    <row r="16" spans="1:19" ht="15.75" thickBot="1">
      <c r="A16" s="6">
        <v>14</v>
      </c>
      <c r="B16" s="192"/>
      <c r="C16" s="143" t="s">
        <v>91</v>
      </c>
      <c r="D16" s="144" t="s">
        <v>92</v>
      </c>
      <c r="E16" s="145" t="s">
        <v>24</v>
      </c>
      <c r="F16" s="145" t="s">
        <v>93</v>
      </c>
      <c r="G16" s="97" t="s">
        <v>124</v>
      </c>
      <c r="H16" s="98" t="s">
        <v>141</v>
      </c>
      <c r="I16" s="99" t="s">
        <v>39</v>
      </c>
      <c r="J16" s="145" t="s">
        <v>25</v>
      </c>
      <c r="K16" s="105">
        <v>100</v>
      </c>
      <c r="L16" s="105">
        <v>1</v>
      </c>
      <c r="M16" s="87">
        <f t="shared" si="0"/>
        <v>5</v>
      </c>
      <c r="N16" s="149" t="s">
        <v>16</v>
      </c>
      <c r="O16" s="102">
        <v>1.4E-3</v>
      </c>
      <c r="P16" s="89">
        <f t="shared" si="1"/>
        <v>0.13999999999999999</v>
      </c>
      <c r="Q16" s="16"/>
      <c r="R16" s="17"/>
      <c r="S16" s="11"/>
    </row>
    <row r="17" spans="1:19" ht="15.75" thickBot="1">
      <c r="A17" s="6">
        <v>15</v>
      </c>
      <c r="B17" s="190" t="s">
        <v>114</v>
      </c>
      <c r="C17" s="140" t="s">
        <v>95</v>
      </c>
      <c r="D17" s="141" t="s">
        <v>96</v>
      </c>
      <c r="E17" s="116" t="s">
        <v>97</v>
      </c>
      <c r="F17" s="116" t="s">
        <v>98</v>
      </c>
      <c r="G17" s="54" t="s">
        <v>31</v>
      </c>
      <c r="H17" s="55" t="s">
        <v>142</v>
      </c>
      <c r="I17" s="56" t="s">
        <v>39</v>
      </c>
      <c r="J17" s="57" t="s">
        <v>22</v>
      </c>
      <c r="K17" s="57">
        <v>11</v>
      </c>
      <c r="L17" s="118">
        <v>2</v>
      </c>
      <c r="M17" s="58">
        <f t="shared" si="0"/>
        <v>10</v>
      </c>
      <c r="N17" s="150" t="s">
        <v>16</v>
      </c>
      <c r="O17" s="59">
        <v>0.44729999999999998</v>
      </c>
      <c r="P17" s="60">
        <f t="shared" si="1"/>
        <v>4.9203000000000001</v>
      </c>
      <c r="Q17" s="12"/>
      <c r="R17" s="13"/>
      <c r="S17" s="11"/>
    </row>
    <row r="18" spans="1:19" ht="26.25" thickBot="1">
      <c r="A18" s="6">
        <v>16</v>
      </c>
      <c r="B18" s="191"/>
      <c r="C18" s="151" t="s">
        <v>99</v>
      </c>
      <c r="D18" s="125" t="s">
        <v>30</v>
      </c>
      <c r="E18" s="121" t="s">
        <v>100</v>
      </c>
      <c r="F18" s="121" t="s">
        <v>101</v>
      </c>
      <c r="G18" s="63" t="s">
        <v>143</v>
      </c>
      <c r="H18" s="63" t="s">
        <v>144</v>
      </c>
      <c r="I18" s="63" t="s">
        <v>39</v>
      </c>
      <c r="J18" s="64" t="s">
        <v>22</v>
      </c>
      <c r="K18" s="63">
        <v>6</v>
      </c>
      <c r="L18" s="123">
        <v>1</v>
      </c>
      <c r="M18" s="65">
        <f t="shared" si="0"/>
        <v>5</v>
      </c>
      <c r="N18" s="126" t="s">
        <v>16</v>
      </c>
      <c r="O18" s="66">
        <v>0.53200000000000003</v>
      </c>
      <c r="P18" s="67">
        <f t="shared" si="1"/>
        <v>3.1920000000000002</v>
      </c>
      <c r="Q18" s="14"/>
      <c r="R18" s="15"/>
      <c r="S18" s="11"/>
    </row>
    <row r="19" spans="1:19" ht="15.75" thickBot="1">
      <c r="A19" s="6">
        <v>17</v>
      </c>
      <c r="B19" s="191"/>
      <c r="C19" s="151" t="s">
        <v>102</v>
      </c>
      <c r="D19" s="125" t="s">
        <v>29</v>
      </c>
      <c r="E19" s="121" t="s">
        <v>103</v>
      </c>
      <c r="F19" s="121" t="s">
        <v>104</v>
      </c>
      <c r="G19" s="68" t="s">
        <v>31</v>
      </c>
      <c r="H19" s="68" t="s">
        <v>22</v>
      </c>
      <c r="I19" s="64" t="s">
        <v>39</v>
      </c>
      <c r="J19" s="64" t="s">
        <v>22</v>
      </c>
      <c r="K19" s="68">
        <v>6</v>
      </c>
      <c r="L19" s="123">
        <v>1</v>
      </c>
      <c r="M19" s="65">
        <f t="shared" si="0"/>
        <v>5</v>
      </c>
      <c r="N19" s="152" t="s">
        <v>145</v>
      </c>
      <c r="O19" s="106">
        <v>8</v>
      </c>
      <c r="P19" s="67">
        <f t="shared" si="1"/>
        <v>48</v>
      </c>
      <c r="Q19" s="40" t="s">
        <v>146</v>
      </c>
      <c r="R19" s="37"/>
      <c r="S19" s="11"/>
    </row>
    <row r="20" spans="1:19" ht="15.75" thickBot="1">
      <c r="A20" s="6">
        <v>18</v>
      </c>
      <c r="B20" s="191"/>
      <c r="C20" s="161" t="s">
        <v>105</v>
      </c>
      <c r="D20" s="162" t="s">
        <v>106</v>
      </c>
      <c r="E20" s="163" t="s">
        <v>147</v>
      </c>
      <c r="F20" s="163" t="s">
        <v>107</v>
      </c>
      <c r="G20" s="164" t="s">
        <v>31</v>
      </c>
      <c r="H20" s="164" t="s">
        <v>22</v>
      </c>
      <c r="I20" s="163" t="s">
        <v>39</v>
      </c>
      <c r="J20" s="163" t="s">
        <v>22</v>
      </c>
      <c r="K20" s="164"/>
      <c r="L20" s="165">
        <v>2</v>
      </c>
      <c r="M20" s="166">
        <f t="shared" si="0"/>
        <v>10</v>
      </c>
      <c r="N20" s="167" t="s">
        <v>166</v>
      </c>
      <c r="O20" s="193">
        <v>10.18</v>
      </c>
      <c r="P20" s="168">
        <f t="shared" si="1"/>
        <v>0</v>
      </c>
      <c r="Q20" s="169"/>
      <c r="R20" s="170"/>
      <c r="S20" s="11"/>
    </row>
    <row r="21" spans="1:19" ht="15.75" thickBot="1">
      <c r="A21" s="6">
        <v>19</v>
      </c>
      <c r="B21" s="191"/>
      <c r="C21" s="151" t="s">
        <v>108</v>
      </c>
      <c r="D21" s="125" t="s">
        <v>109</v>
      </c>
      <c r="E21" s="121" t="s">
        <v>28</v>
      </c>
      <c r="F21" s="121" t="s">
        <v>110</v>
      </c>
      <c r="G21" s="68" t="s">
        <v>148</v>
      </c>
      <c r="H21" s="68" t="s">
        <v>149</v>
      </c>
      <c r="I21" s="64" t="s">
        <v>39</v>
      </c>
      <c r="J21" s="64" t="s">
        <v>22</v>
      </c>
      <c r="K21" s="68">
        <v>6</v>
      </c>
      <c r="L21" s="123">
        <v>1</v>
      </c>
      <c r="M21" s="65">
        <f t="shared" si="0"/>
        <v>5</v>
      </c>
      <c r="N21" s="152" t="s">
        <v>16</v>
      </c>
      <c r="O21" s="66">
        <v>4.1349999999999998</v>
      </c>
      <c r="P21" s="67">
        <f t="shared" si="1"/>
        <v>24.81</v>
      </c>
      <c r="Q21" s="22"/>
      <c r="R21" s="15"/>
      <c r="S21" s="11"/>
    </row>
    <row r="22" spans="1:19" ht="26.25" thickBot="1">
      <c r="A22" s="6">
        <v>20</v>
      </c>
      <c r="B22" s="192"/>
      <c r="C22" s="143" t="s">
        <v>111</v>
      </c>
      <c r="D22" s="144" t="s">
        <v>112</v>
      </c>
      <c r="E22" s="145" t="s">
        <v>150</v>
      </c>
      <c r="F22" s="145" t="s">
        <v>113</v>
      </c>
      <c r="G22" s="100" t="s">
        <v>151</v>
      </c>
      <c r="H22" s="100" t="s">
        <v>152</v>
      </c>
      <c r="I22" s="100" t="s">
        <v>39</v>
      </c>
      <c r="J22" s="100" t="s">
        <v>22</v>
      </c>
      <c r="K22" s="97">
        <v>10</v>
      </c>
      <c r="L22" s="153">
        <v>1</v>
      </c>
      <c r="M22" s="87">
        <f t="shared" si="0"/>
        <v>5</v>
      </c>
      <c r="N22" s="154" t="s">
        <v>16</v>
      </c>
      <c r="O22" s="102">
        <v>5.8799999999999998E-2</v>
      </c>
      <c r="P22" s="89">
        <f t="shared" si="1"/>
        <v>0.58799999999999997</v>
      </c>
      <c r="Q22" s="23"/>
      <c r="R22" s="17"/>
      <c r="S22" s="11"/>
    </row>
    <row r="23" spans="1:19" ht="15.75" thickBot="1">
      <c r="A23" s="6">
        <v>21</v>
      </c>
      <c r="B23" s="190" t="s">
        <v>120</v>
      </c>
      <c r="C23" s="140" t="s">
        <v>115</v>
      </c>
      <c r="D23" s="141" t="s">
        <v>41</v>
      </c>
      <c r="E23" s="116" t="s">
        <v>28</v>
      </c>
      <c r="F23" s="147" t="s">
        <v>116</v>
      </c>
      <c r="G23" s="58" t="s">
        <v>153</v>
      </c>
      <c r="H23" s="58" t="s">
        <v>154</v>
      </c>
      <c r="I23" s="57" t="s">
        <v>39</v>
      </c>
      <c r="J23" s="57" t="s">
        <v>22</v>
      </c>
      <c r="K23" s="107">
        <v>50</v>
      </c>
      <c r="L23" s="108">
        <v>1</v>
      </c>
      <c r="M23" s="58">
        <f t="shared" si="0"/>
        <v>5</v>
      </c>
      <c r="N23" s="155" t="s">
        <v>16</v>
      </c>
      <c r="O23" s="59">
        <v>1.5699999999999999E-2</v>
      </c>
      <c r="P23" s="60">
        <f t="shared" si="1"/>
        <v>0.78499999999999992</v>
      </c>
      <c r="Q23" s="24"/>
      <c r="R23" s="13"/>
      <c r="S23" s="11"/>
    </row>
    <row r="24" spans="1:19" ht="15.75" thickBot="1">
      <c r="A24" s="6">
        <v>22</v>
      </c>
      <c r="B24" s="191"/>
      <c r="C24" s="151" t="s">
        <v>168</v>
      </c>
      <c r="D24" s="125" t="s">
        <v>42</v>
      </c>
      <c r="E24" s="121" t="s">
        <v>28</v>
      </c>
      <c r="F24" s="121" t="s">
        <v>167</v>
      </c>
      <c r="G24" s="64" t="s">
        <v>170</v>
      </c>
      <c r="H24" s="64" t="s">
        <v>169</v>
      </c>
      <c r="I24" s="64" t="s">
        <v>39</v>
      </c>
      <c r="J24" s="64" t="s">
        <v>22</v>
      </c>
      <c r="K24" s="64">
        <v>6</v>
      </c>
      <c r="L24" s="109">
        <v>1</v>
      </c>
      <c r="M24" s="65">
        <f t="shared" si="0"/>
        <v>5</v>
      </c>
      <c r="N24" s="194" t="s">
        <v>16</v>
      </c>
      <c r="O24" s="106">
        <v>0.25409999999999999</v>
      </c>
      <c r="P24" s="67">
        <f t="shared" si="1"/>
        <v>1.5246</v>
      </c>
      <c r="Q24" s="31"/>
      <c r="R24" s="15"/>
      <c r="S24" s="11"/>
    </row>
    <row r="25" spans="1:19" ht="15.75" thickBot="1">
      <c r="A25" s="6">
        <v>23</v>
      </c>
      <c r="B25" s="191"/>
      <c r="C25" s="151" t="s">
        <v>117</v>
      </c>
      <c r="D25" s="125" t="s">
        <v>34</v>
      </c>
      <c r="E25" s="121" t="s">
        <v>28</v>
      </c>
      <c r="F25" s="156" t="s">
        <v>118</v>
      </c>
      <c r="G25" s="64" t="s">
        <v>155</v>
      </c>
      <c r="H25" s="64" t="s">
        <v>156</v>
      </c>
      <c r="I25" s="64" t="s">
        <v>161</v>
      </c>
      <c r="J25" s="64" t="s">
        <v>22</v>
      </c>
      <c r="K25" s="64">
        <v>50</v>
      </c>
      <c r="L25" s="109">
        <v>1</v>
      </c>
      <c r="M25" s="65">
        <f t="shared" si="0"/>
        <v>5</v>
      </c>
      <c r="N25" s="152" t="s">
        <v>16</v>
      </c>
      <c r="O25" s="66">
        <v>1.26E-2</v>
      </c>
      <c r="P25" s="67">
        <f t="shared" si="1"/>
        <v>0.63</v>
      </c>
      <c r="Q25" s="32"/>
      <c r="R25" s="15"/>
      <c r="S25" s="11"/>
    </row>
    <row r="26" spans="1:19" ht="90" thickBot="1">
      <c r="A26" s="19">
        <v>24</v>
      </c>
      <c r="B26" s="191"/>
      <c r="C26" s="157" t="s">
        <v>35</v>
      </c>
      <c r="D26" s="158" t="s">
        <v>119</v>
      </c>
      <c r="E26" s="159" t="s">
        <v>36</v>
      </c>
      <c r="F26" s="159" t="s">
        <v>36</v>
      </c>
      <c r="G26" s="110" t="s">
        <v>157</v>
      </c>
      <c r="H26" s="110" t="s">
        <v>157</v>
      </c>
      <c r="I26" s="111" t="s">
        <v>40</v>
      </c>
      <c r="J26" s="111" t="s">
        <v>40</v>
      </c>
      <c r="K26" s="112" t="s">
        <v>157</v>
      </c>
      <c r="L26" s="113">
        <v>42</v>
      </c>
      <c r="M26" s="114">
        <f t="shared" si="0"/>
        <v>210</v>
      </c>
      <c r="N26" s="110" t="s">
        <v>157</v>
      </c>
      <c r="O26" s="111" t="s">
        <v>40</v>
      </c>
      <c r="P26" s="112" t="s">
        <v>157</v>
      </c>
      <c r="Q26" s="45" t="s">
        <v>162</v>
      </c>
      <c r="R26" s="46"/>
      <c r="S26" s="11"/>
    </row>
    <row r="27" spans="1:19" ht="15.75" thickBot="1">
      <c r="A27" s="19">
        <v>25</v>
      </c>
      <c r="B27" s="160" t="s">
        <v>164</v>
      </c>
      <c r="C27" s="171" t="s">
        <v>165</v>
      </c>
      <c r="D27" s="178" t="s">
        <v>40</v>
      </c>
      <c r="E27" s="178" t="s">
        <v>40</v>
      </c>
      <c r="F27" s="172" t="s">
        <v>165</v>
      </c>
      <c r="G27" s="178" t="s">
        <v>40</v>
      </c>
      <c r="H27" s="178" t="s">
        <v>40</v>
      </c>
      <c r="I27" s="178" t="s">
        <v>40</v>
      </c>
      <c r="J27" s="178" t="s">
        <v>40</v>
      </c>
      <c r="K27" s="178" t="s">
        <v>40</v>
      </c>
      <c r="L27" s="175">
        <v>1</v>
      </c>
      <c r="M27" s="175">
        <f t="shared" si="0"/>
        <v>5</v>
      </c>
      <c r="N27" s="173"/>
      <c r="O27" s="174"/>
      <c r="P27" s="174"/>
      <c r="Q27" s="176"/>
      <c r="R27" s="177"/>
      <c r="S27" s="11"/>
    </row>
    <row r="28" spans="1:19" ht="15.75">
      <c r="A28" s="1"/>
      <c r="C28" s="25"/>
      <c r="D28" s="8"/>
      <c r="E28" s="7"/>
      <c r="G28" s="7"/>
      <c r="H28" s="7"/>
      <c r="I28" s="7"/>
      <c r="J28" s="7"/>
      <c r="K28" s="7"/>
      <c r="L28" s="186" t="s">
        <v>37</v>
      </c>
      <c r="M28" s="187"/>
      <c r="N28" s="187"/>
      <c r="O28" s="51"/>
      <c r="P28" s="52">
        <f>SUM(P3:P26)</f>
        <v>248.20189999999997</v>
      </c>
      <c r="Q28" s="7"/>
      <c r="R28" s="7"/>
      <c r="S28" s="11"/>
    </row>
    <row r="29" spans="1:19" ht="16.5" thickBot="1">
      <c r="A29" s="1"/>
      <c r="C29" s="25"/>
      <c r="E29" s="29"/>
      <c r="F29" s="29"/>
      <c r="G29" s="7"/>
      <c r="H29" s="7"/>
      <c r="I29" s="7"/>
      <c r="J29" s="7"/>
      <c r="K29" s="7"/>
      <c r="L29" s="188" t="s">
        <v>38</v>
      </c>
      <c r="M29" s="189"/>
      <c r="N29" s="189"/>
      <c r="O29" s="48"/>
      <c r="P29" s="53">
        <f>P28/5</f>
        <v>49.640379999999993</v>
      </c>
      <c r="Q29" s="7"/>
      <c r="R29" s="7"/>
      <c r="S29" s="11"/>
    </row>
    <row r="30" spans="1:19" ht="15.75">
      <c r="A30" s="1"/>
      <c r="C30" s="25"/>
      <c r="E30" s="29"/>
      <c r="F30" s="29"/>
      <c r="G30" s="7"/>
      <c r="H30" s="7"/>
      <c r="I30" s="7"/>
      <c r="J30" s="7"/>
      <c r="K30" s="7"/>
      <c r="L30" s="38"/>
      <c r="M30" s="179" t="s">
        <v>160</v>
      </c>
      <c r="N30" s="180"/>
      <c r="O30" s="39"/>
      <c r="P30" s="50"/>
      <c r="Q30" s="7"/>
      <c r="R30" s="7"/>
      <c r="S30" s="11"/>
    </row>
    <row r="31" spans="1:19" ht="15.75">
      <c r="A31" s="1"/>
      <c r="D31" s="28"/>
      <c r="E31" s="29"/>
      <c r="M31" s="179" t="s">
        <v>43</v>
      </c>
      <c r="N31" s="180"/>
      <c r="O31" s="21"/>
      <c r="P31" s="47">
        <v>213.77</v>
      </c>
      <c r="R31" s="11"/>
      <c r="S31" s="11"/>
    </row>
    <row r="32" spans="1:19" ht="16.5" thickBot="1">
      <c r="A32" s="1"/>
      <c r="D32" s="29"/>
      <c r="M32" s="181" t="s">
        <v>44</v>
      </c>
      <c r="N32" s="182"/>
      <c r="O32" s="48"/>
      <c r="P32" s="49">
        <f>P31+P28</f>
        <v>461.97190000000001</v>
      </c>
      <c r="R32" s="11"/>
      <c r="S32" s="11"/>
    </row>
    <row r="33" spans="1:19">
      <c r="A33" s="1"/>
      <c r="C33" s="26"/>
      <c r="D33" s="29"/>
      <c r="M33" s="20"/>
      <c r="R33" s="11"/>
      <c r="S33" s="11"/>
    </row>
    <row r="34" spans="1:19">
      <c r="A34" s="1"/>
      <c r="R34" s="11"/>
      <c r="S34" s="11"/>
    </row>
    <row r="35" spans="1:19">
      <c r="A35" s="1"/>
      <c r="R35" s="11"/>
      <c r="S35" s="11"/>
    </row>
    <row r="36" spans="1:19">
      <c r="A36" s="1"/>
      <c r="R36" s="11"/>
      <c r="S36" s="11"/>
    </row>
    <row r="37" spans="1:19">
      <c r="A37" s="1"/>
      <c r="R37" s="11"/>
      <c r="S37" s="11"/>
    </row>
    <row r="38" spans="1:19" ht="15.75" customHeight="1">
      <c r="A38" s="1"/>
      <c r="R38" s="11"/>
      <c r="S38" s="11"/>
    </row>
    <row r="39" spans="1:19">
      <c r="A39" s="1"/>
      <c r="R39" s="11"/>
      <c r="S39" s="11"/>
    </row>
    <row r="40" spans="1:19">
      <c r="A40" s="1"/>
      <c r="R40" s="11"/>
      <c r="S40" s="11"/>
    </row>
    <row r="41" spans="1:19">
      <c r="A41" s="1"/>
      <c r="R41" s="11"/>
      <c r="S41" s="11"/>
    </row>
    <row r="42" spans="1:19">
      <c r="A42" s="1"/>
      <c r="R42" s="11"/>
      <c r="S42" s="11"/>
    </row>
    <row r="43" spans="1:19">
      <c r="A43" s="1"/>
      <c r="R43" s="11"/>
      <c r="S43" s="11"/>
    </row>
    <row r="44" spans="1:19">
      <c r="H44" s="9"/>
      <c r="Q44" s="10"/>
    </row>
    <row r="45" spans="1:19">
      <c r="H45" s="9"/>
      <c r="Q45" s="10"/>
    </row>
  </sheetData>
  <mergeCells count="11">
    <mergeCell ref="M30:N30"/>
    <mergeCell ref="M31:N31"/>
    <mergeCell ref="M32:N32"/>
    <mergeCell ref="A1:R1"/>
    <mergeCell ref="L28:N28"/>
    <mergeCell ref="L29:N29"/>
    <mergeCell ref="B3:B10"/>
    <mergeCell ref="B13:B14"/>
    <mergeCell ref="B15:B16"/>
    <mergeCell ref="B17:B22"/>
    <mergeCell ref="B23:B26"/>
  </mergeCells>
  <phoneticPr fontId="16" type="noConversion"/>
  <conditionalFormatting sqref="Q24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3:L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9:N1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P29:P30">
    <cfRule type="dataBar" priority="2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L17:M27 L8:L14 M3:M2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27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27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conditionalFormatting sqref="K2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hyperlinks>
    <hyperlink ref="N3" r:id="rId1" xr:uid="{77E7F02B-CC4A-45E7-B730-3717F029D629}"/>
    <hyperlink ref="N4" r:id="rId2" xr:uid="{422ACB32-99A4-4373-9BBC-0F8302D669E9}"/>
    <hyperlink ref="N5" r:id="rId3" xr:uid="{1D3C339F-D2BF-414A-BD64-13F776D76A9F}"/>
    <hyperlink ref="N6" r:id="rId4" xr:uid="{01BBFB8E-A26B-48C7-AB0F-DF9F65C47B93}"/>
    <hyperlink ref="N7" r:id="rId5" xr:uid="{83C85DDA-7FBA-4A9B-8C90-61DA15EF09A1}"/>
    <hyperlink ref="N8" r:id="rId6" xr:uid="{F5D2937B-2705-425B-A920-F69EE337A9AA}"/>
    <hyperlink ref="N9" r:id="rId7" xr:uid="{23650E7E-1F91-465B-A508-B3E81A5A29DB}"/>
    <hyperlink ref="N10" r:id="rId8" xr:uid="{A3FA0792-9C1C-4B11-8EC7-D8950B40778A}"/>
    <hyperlink ref="N12" r:id="rId9" xr:uid="{9306F7E1-9FA0-45C1-9226-A5EFFE620B9F}"/>
    <hyperlink ref="N13" r:id="rId10" xr:uid="{6C2F24FA-F4C6-4765-90C1-BBDF944038A7}"/>
    <hyperlink ref="N14" r:id="rId11" xr:uid="{834B4123-1D60-4B34-B015-5E7BBC8F47AF}"/>
    <hyperlink ref="N15" r:id="rId12" xr:uid="{1D1A071F-2A3D-4FA1-937C-5E9315A2DAC9}"/>
    <hyperlink ref="N16" r:id="rId13" xr:uid="{1ECC2B27-3B6B-4070-A52B-CBF10AA116AF}"/>
    <hyperlink ref="N17" r:id="rId14" xr:uid="{BFDF2136-290A-40AE-829A-CE2FE24D8034}"/>
    <hyperlink ref="N18" r:id="rId15" xr:uid="{E71028CE-6136-4648-ABFC-ABDBCFA60DB5}"/>
    <hyperlink ref="N19" r:id="rId16" xr:uid="{600C5A90-1D13-491E-82D2-49A3F9B676E0}"/>
    <hyperlink ref="N21" r:id="rId17" xr:uid="{F5B5F1A9-E737-48E7-A459-388501647F5A}"/>
    <hyperlink ref="N22" r:id="rId18" xr:uid="{8E22EBA9-5C52-408B-A65B-4F115F1CD0F7}"/>
    <hyperlink ref="N23" r:id="rId19" xr:uid="{0A7E773D-5A3D-486C-84CA-8D29060909A3}"/>
    <hyperlink ref="N25" r:id="rId20" xr:uid="{79B90123-86F4-4C7F-BE0B-E5B7C590F601}"/>
    <hyperlink ref="N11" r:id="rId21" display="Aliexpress" xr:uid="{D571A1A4-A3B8-476C-81AA-A10E0576C945}"/>
    <hyperlink ref="N24" r:id="rId22" xr:uid="{552B4167-57FF-43F1-B0A5-FDF3A29237A4}"/>
  </hyperlinks>
  <pageMargins left="0.75" right="0.75" top="1" bottom="1" header="0.5" footer="0.5"/>
  <pageSetup orientation="portrait" r:id="rId2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P29:P30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P3:P27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user</cp:lastModifiedBy>
  <dcterms:created xsi:type="dcterms:W3CDTF">2021-10-16T12:34:00Z</dcterms:created>
  <dcterms:modified xsi:type="dcterms:W3CDTF">2022-04-07T07:28:58Z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