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GitHub\Melih-SoundSensor\Deliverables\BOM\"/>
    </mc:Choice>
  </mc:AlternateContent>
  <xr:revisionPtr revIDLastSave="0" documentId="13_ncr:1_{7F9320C6-7A10-4DD9-AEED-8F59393BD1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7" i="1" l="1"/>
  <c r="P25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8" i="1"/>
  <c r="P29" i="1" s="1"/>
  <c r="P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3" i="1"/>
  <c r="P32" i="1" l="1"/>
</calcChain>
</file>

<file path=xl/sharedStrings.xml><?xml version="1.0" encoding="utf-8"?>
<sst xmlns="http://schemas.openxmlformats.org/spreadsheetml/2006/main" count="261" uniqueCount="171">
  <si>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</si>
  <si>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</si>
  <si>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</si>
  <si>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</si>
  <si>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</si>
  <si>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</si>
  <si>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</si>
  <si>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 xml:space="preserve">LCSC Part No </t>
  </si>
  <si>
    <t>Alternate</t>
  </si>
  <si>
    <t>Value</t>
  </si>
  <si>
    <t>Quantity (Per Board)</t>
  </si>
  <si>
    <t>Link</t>
  </si>
  <si>
    <t>Remarks</t>
  </si>
  <si>
    <t>Quotation of orignal parts from Chinese supplier</t>
  </si>
  <si>
    <t>Capacitor</t>
  </si>
  <si>
    <t>1uF</t>
  </si>
  <si>
    <t>LCSC</t>
  </si>
  <si>
    <t>CAP CER 0.1UF 100V X7R 0603</t>
  </si>
  <si>
    <t>CC0603KRX7R0BB104</t>
  </si>
  <si>
    <t>0.1uF</t>
  </si>
  <si>
    <t>10uF</t>
  </si>
  <si>
    <t>CAP CER 4.7UF 25V X5R 0603</t>
  </si>
  <si>
    <t>-----</t>
  </si>
  <si>
    <t>Resistor</t>
  </si>
  <si>
    <t>Res0603</t>
  </si>
  <si>
    <t>10K</t>
  </si>
  <si>
    <t>Switch</t>
  </si>
  <si>
    <t>SW1</t>
  </si>
  <si>
    <t>Custom</t>
  </si>
  <si>
    <t>U4</t>
  </si>
  <si>
    <t>U3</t>
  </si>
  <si>
    <t xml:space="preserve">Texas </t>
  </si>
  <si>
    <t>Crystal</t>
  </si>
  <si>
    <t>X1</t>
  </si>
  <si>
    <t>Aliexpress</t>
  </si>
  <si>
    <t>J3</t>
  </si>
  <si>
    <t>Solder Bridge ON</t>
  </si>
  <si>
    <t>Solder Bridge</t>
  </si>
  <si>
    <t xml:space="preserve">Total Component Cost </t>
  </si>
  <si>
    <t>Single Board Cost</t>
  </si>
  <si>
    <t>--------</t>
  </si>
  <si>
    <t>-------</t>
  </si>
  <si>
    <t>J1</t>
  </si>
  <si>
    <t>J2</t>
  </si>
  <si>
    <t>Aliexpress Shipping</t>
  </si>
  <si>
    <t>Total with Shipping</t>
  </si>
  <si>
    <t>Quantity 5</t>
  </si>
  <si>
    <t>Unit Cost(5)</t>
  </si>
  <si>
    <t>MOQ Total 5</t>
  </si>
  <si>
    <t>LCSC/MOQ (5)</t>
  </si>
  <si>
    <t>CAP CER 10UF 25V X5R 0603</t>
  </si>
  <si>
    <t>C1, C56, C57</t>
  </si>
  <si>
    <t>Cap 0603</t>
  </si>
  <si>
    <t>CL10A106MA8NRNC</t>
  </si>
  <si>
    <t>C2</t>
  </si>
  <si>
    <t>CL10A475KA8NQNC</t>
  </si>
  <si>
    <t>CAP CER 1UF 25V X5R 0603</t>
  </si>
  <si>
    <t>C3, C5, C7, C9, C11, C13, C15, C17, C20, C27, C29, C53, C55, C70, C72</t>
  </si>
  <si>
    <t>CC0603KRX5R8BB105</t>
  </si>
  <si>
    <t>CAP CER 220PF 50V C0G/NPO 0402</t>
  </si>
  <si>
    <t>C4, C6, C8, C10, C12, C14, C16, C18</t>
  </si>
  <si>
    <t>Cap0402</t>
  </si>
  <si>
    <t>CC0402JRNPO9BN221</t>
  </si>
  <si>
    <t>C19, C21, C22, C23, C24, C25, C26, C28, C30, C31, C32, C33, C34, C35, C37, C38, C39, C40, C41, C42, C54, C58, C59, C71</t>
  </si>
  <si>
    <t>CAP CER 0.22UF 50V X7S 0603</t>
  </si>
  <si>
    <t>C36</t>
  </si>
  <si>
    <t>UMK107C7224KAHTE</t>
  </si>
  <si>
    <t>CAP SMD 18pF ±5.0% 50V NPO 0603</t>
  </si>
  <si>
    <t>C43, C44, C61, C62, C73, C74</t>
  </si>
  <si>
    <t>CC0603JRNPO9BN180</t>
  </si>
  <si>
    <t>CAP CER 0.68uF 25V X7R 10% 0603 Paper T/R</t>
  </si>
  <si>
    <t>C45, C46, C47, C48, C49, C50, C51, C52, C60, C63, C64, C65, C66, C67, C68, C69</t>
  </si>
  <si>
    <t>CC0603KRX7R8BB684</t>
  </si>
  <si>
    <t>4.7UF</t>
  </si>
  <si>
    <t>220pF</t>
  </si>
  <si>
    <t>220nF</t>
  </si>
  <si>
    <t>18pF</t>
  </si>
  <si>
    <t>680nF</t>
  </si>
  <si>
    <t>MICROPHONE MEMS ANALOG NC -32DB</t>
  </si>
  <si>
    <t>MK1, MK2, MK3, MK4, MK5, MK6, MK7, MK8</t>
  </si>
  <si>
    <t>ICS-40730</t>
  </si>
  <si>
    <t xml:space="preserve">Microphone </t>
  </si>
  <si>
    <t>3mm 2mm Round Button 50mA Top3.65mm SPST 12V SMD Tactile Switches</t>
  </si>
  <si>
    <t>TS-1185EC-C-D-B</t>
  </si>
  <si>
    <t>8.192MHz SMD Crystal Resonator 12pF 150Ω ±10ppm ±30ppm -40℃~+85℃ SMD_3225_4P Crystals ROHS</t>
  </si>
  <si>
    <t>3TJ481920NYLBC</t>
  </si>
  <si>
    <t>24.576MHz SMD Crystal Resonator 12pF 60Ω ±10ppm -40℃~+85℃ SMD3225-4P Crystals ROHS</t>
  </si>
  <si>
    <t>X2, X3</t>
  </si>
  <si>
    <t>S3224576121060</t>
  </si>
  <si>
    <t>RES SMD 100K OHM 5% 1/5W 0603</t>
  </si>
  <si>
    <t>R1, R2</t>
  </si>
  <si>
    <t>CRGH0603J100K</t>
  </si>
  <si>
    <t>RES SMD 10K OHM 1% 1/10W 0603</t>
  </si>
  <si>
    <t>R17</t>
  </si>
  <si>
    <t>RC0603FR-0710KL</t>
  </si>
  <si>
    <t>100K</t>
  </si>
  <si>
    <t>IC OR CTRLR IDEAL DIODE SC70-6</t>
  </si>
  <si>
    <t>U1, U2</t>
  </si>
  <si>
    <t>SC70-6</t>
  </si>
  <si>
    <t>LM66100DCKR</t>
  </si>
  <si>
    <t>Linear Voltage Regulator IC Positive Fixed 1 Output 3.3V 1A SOT-25</t>
  </si>
  <si>
    <t>SOT-25</t>
  </si>
  <si>
    <t>XC6220B331MR-G</t>
  </si>
  <si>
    <t>IC ADC 24BIT SIGMA-DELTA 32TQFP</t>
  </si>
  <si>
    <t>32TQFP</t>
  </si>
  <si>
    <t>ADS131M08IPBSR</t>
  </si>
  <si>
    <t>IC ADC/AUDIO 24BIT 192K 30TSSOP</t>
  </si>
  <si>
    <t>U5, U6</t>
  </si>
  <si>
    <t>PCM1865DBTR</t>
  </si>
  <si>
    <t>Rx Txrx Mod Wifi Trace Ant SMD</t>
  </si>
  <si>
    <t>U12</t>
  </si>
  <si>
    <t>ESP32-WROOM-32E(8MB)</t>
  </si>
  <si>
    <t>2 NPN pre-biased (Dual) 150mW 100mA 50V SC-70-6(SOT-363) Digital Transistors ROHS</t>
  </si>
  <si>
    <t>U13</t>
  </si>
  <si>
    <t>UMH3N</t>
  </si>
  <si>
    <t>IC</t>
  </si>
  <si>
    <t>05P MTA100 HDR ASSY (NARROW)</t>
  </si>
  <si>
    <t>3-644456-5</t>
  </si>
  <si>
    <t>Surface Mount DC Power Receptacle 1.2mm 3.7mm SMD AC/DC Power Connectors ROHS</t>
  </si>
  <si>
    <t>DC-0920-SMT</t>
  </si>
  <si>
    <t>2 PIN JST Connector</t>
  </si>
  <si>
    <t>2 Pin JST Connector</t>
  </si>
  <si>
    <t>SB1, SB2, SB3, SB8, SB9, SB10, SB11, SB12, SB13, SB14, SB15, SB16, SB17, SB18, SB19, SB20, SB21, SB22, SB23, SB24, SB25, SB26, SB27, SB28, SB29, SB30, SB32, SB34, SB35, SB36, SB37, SB38, SB40, SB41, SB42, SB44, SB45, SB46, SB47, SB48, SB49, SB50</t>
  </si>
  <si>
    <t xml:space="preserve">Connector </t>
  </si>
  <si>
    <t xml:space="preserve">Samsung </t>
  </si>
  <si>
    <t>C2922482</t>
  </si>
  <si>
    <t>C69335</t>
  </si>
  <si>
    <t xml:space="preserve">YAGEO </t>
  </si>
  <si>
    <t>C14664</t>
  </si>
  <si>
    <t>C107001</t>
  </si>
  <si>
    <t>C113803</t>
  </si>
  <si>
    <t>Taiyo Yuden</t>
  </si>
  <si>
    <t>C386159</t>
  </si>
  <si>
    <t>C107040</t>
  </si>
  <si>
    <t>C2838708</t>
  </si>
  <si>
    <t xml:space="preserve">XKB </t>
  </si>
  <si>
    <t>C318893</t>
  </si>
  <si>
    <t xml:space="preserve">JYJE </t>
  </si>
  <si>
    <t>C2898996</t>
  </si>
  <si>
    <t xml:space="preserve">JGHC </t>
  </si>
  <si>
    <t>C390772</t>
  </si>
  <si>
    <t xml:space="preserve">RS-03K104JT
</t>
  </si>
  <si>
    <t>C73806</t>
  </si>
  <si>
    <t>FH</t>
  </si>
  <si>
    <t>C98220</t>
  </si>
  <si>
    <t>C2869734</t>
  </si>
  <si>
    <t xml:space="preserve">Torex </t>
  </si>
  <si>
    <t>C86534</t>
  </si>
  <si>
    <t>Alibaba</t>
  </si>
  <si>
    <t>Shipping Cost Not Added</t>
  </si>
  <si>
    <t>30TSSOP</t>
  </si>
  <si>
    <t>Espressif Systems</t>
  </si>
  <si>
    <t>C701342</t>
  </si>
  <si>
    <t>SOT-363</t>
  </si>
  <si>
    <t xml:space="preserve">Changjiang </t>
  </si>
  <si>
    <t>C62892</t>
  </si>
  <si>
    <t xml:space="preserve">PINREX </t>
  </si>
  <si>
    <t>C390683</t>
  </si>
  <si>
    <t xml:space="preserve">DEALON </t>
  </si>
  <si>
    <t xml:space="preserve">C2904969
</t>
  </si>
  <si>
    <t>XKB</t>
  </si>
  <si>
    <t>C692456</t>
  </si>
  <si>
    <t>------</t>
  </si>
  <si>
    <t>---------</t>
  </si>
  <si>
    <t>TDK</t>
  </si>
  <si>
    <t>Alibaba Shipping</t>
  </si>
  <si>
    <t xml:space="preserve">XHB-2A
</t>
  </si>
  <si>
    <t xml:space="preserve">Do NOT Mount </t>
  </si>
  <si>
    <t>Bill of Material (BOM) for Melih Sound_Sensor</t>
  </si>
  <si>
    <t>Peripherals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</si>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</sst>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00"/>
    <numFmt numFmtId="166" formatCode="&quot;$&quot;#,##0.00"/>
    <numFmt numFmtId="167" formatCode="_-[$$-409]* #,##0.00_ ;_-[$$-409]* \-#,##0.00\ ;_-[$$-409]* &quot;-&quot;??_ ;_-@_ "/>
  </numFmts>
  <fonts count="26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color rgb="FF222222"/>
      <name val="Arial"/>
      <charset val="134"/>
    </font>
    <font>
      <u/>
      <sz val="11"/>
      <color rgb="FF0000FF"/>
      <name val="Calibri"/>
      <scheme val="minor"/>
    </font>
    <font>
      <strike/>
      <sz val="10"/>
      <color rgb="FFFF0000"/>
      <name val="Calibri"/>
      <family val="2"/>
    </font>
    <font>
      <sz val="10"/>
      <color theme="1"/>
      <name val="Calibri"/>
      <family val="2"/>
    </font>
    <font>
      <b/>
      <sz val="12"/>
      <color theme="0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FF0000"/>
      <name val="Calibri"/>
      <family val="2"/>
    </font>
    <font>
      <b/>
      <strike/>
      <sz val="10"/>
      <color rgb="FFFF0000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trike/>
      <u/>
      <sz val="10"/>
      <color rgb="FFFF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u/>
      <sz val="10"/>
      <color rgb="FF0000FF"/>
      <name val="Calibri"/>
      <family val="2"/>
      <scheme val="minor"/>
    </font>
    <font>
      <sz val="10"/>
      <name val="Calibri"/>
      <family val="2"/>
      <scheme val="minor"/>
    </font>
    <font>
      <strike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94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0" borderId="0" xfId="0" applyFont="1" applyFill="1" applyAlignment="1"/>
    <xf numFmtId="0" fontId="0" fillId="0" borderId="0" xfId="0" applyFont="1" applyFill="1" applyAlignment="1"/>
    <xf numFmtId="0" fontId="10" fillId="0" borderId="7" xfId="0" applyFont="1" applyFill="1" applyBorder="1" applyAlignment="1">
      <alignment horizontal="center" vertical="center"/>
    </xf>
    <xf numFmtId="166" fontId="10" fillId="0" borderId="13" xfId="0" applyNumberFormat="1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166" fontId="10" fillId="0" borderId="14" xfId="0" applyNumberFormat="1" applyFont="1" applyFill="1" applyBorder="1" applyAlignment="1">
      <alignment horizontal="center" vertical="center"/>
    </xf>
    <xf numFmtId="0" fontId="10" fillId="0" borderId="11" xfId="0" applyFont="1" applyFill="1" applyBorder="1" applyAlignment="1">
      <alignment horizontal="center" vertical="center"/>
    </xf>
    <xf numFmtId="166" fontId="10" fillId="0" borderId="15" xfId="0" applyNumberFormat="1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12" xfId="0" applyFill="1" applyBorder="1" applyAlignment="1"/>
    <xf numFmtId="0" fontId="13" fillId="0" borderId="9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67" fontId="14" fillId="0" borderId="9" xfId="0" applyNumberFormat="1" applyFont="1" applyFill="1" applyBorder="1" applyAlignment="1">
      <alignment horizontal="center" vertical="center"/>
    </xf>
    <xf numFmtId="0" fontId="10" fillId="0" borderId="9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166" fontId="10" fillId="0" borderId="27" xfId="0" applyNumberFormat="1" applyFont="1" applyFill="1" applyBorder="1" applyAlignment="1">
      <alignment horizontal="center" vertical="center"/>
    </xf>
    <xf numFmtId="166" fontId="13" fillId="0" borderId="14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0" fillId="0" borderId="17" xfId="0" applyFill="1" applyBorder="1" applyAlignment="1"/>
    <xf numFmtId="166" fontId="13" fillId="0" borderId="9" xfId="0" applyNumberFormat="1" applyFont="1" applyFill="1" applyBorder="1" applyAlignment="1">
      <alignment horizontal="center" vertical="center"/>
    </xf>
    <xf numFmtId="166" fontId="10" fillId="0" borderId="29" xfId="0" applyNumberFormat="1" applyFont="1" applyFill="1" applyBorder="1" applyAlignment="1">
      <alignment horizontal="center" vertical="center"/>
    </xf>
    <xf numFmtId="166" fontId="13" fillId="0" borderId="24" xfId="0" applyNumberFormat="1" applyFont="1" applyFill="1" applyBorder="1" applyAlignment="1">
      <alignment horizontal="center" vertical="center"/>
    </xf>
    <xf numFmtId="0" fontId="0" fillId="0" borderId="16" xfId="0" applyFill="1" applyBorder="1" applyAlignment="1"/>
    <xf numFmtId="166" fontId="10" fillId="0" borderId="13" xfId="0" applyNumberFormat="1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 vertical="center" wrapText="1"/>
    </xf>
    <xf numFmtId="166" fontId="9" fillId="7" borderId="27" xfId="0" applyNumberFormat="1" applyFont="1" applyFill="1" applyBorder="1" applyAlignment="1">
      <alignment horizontal="center" vertical="center"/>
    </xf>
    <xf numFmtId="0" fontId="15" fillId="0" borderId="32" xfId="0" applyFont="1" applyFill="1" applyBorder="1" applyAlignment="1">
      <alignment horizontal="center" vertical="center"/>
    </xf>
    <xf numFmtId="164" fontId="12" fillId="0" borderId="14" xfId="0" applyNumberFormat="1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 vertical="center"/>
    </xf>
    <xf numFmtId="0" fontId="15" fillId="0" borderId="11" xfId="0" applyFont="1" applyFill="1" applyBorder="1" applyAlignment="1">
      <alignment horizontal="center" vertical="center"/>
    </xf>
    <xf numFmtId="0" fontId="0" fillId="0" borderId="11" xfId="0" applyFill="1" applyBorder="1" applyAlignment="1"/>
    <xf numFmtId="166" fontId="0" fillId="0" borderId="15" xfId="0" applyNumberFormat="1" applyFill="1" applyBorder="1" applyAlignment="1">
      <alignment horizontal="center" vertical="center"/>
    </xf>
    <xf numFmtId="166" fontId="4" fillId="0" borderId="19" xfId="0" applyNumberFormat="1" applyFont="1" applyFill="1" applyBorder="1" applyAlignment="1">
      <alignment horizontal="center" vertical="center"/>
    </xf>
    <xf numFmtId="0" fontId="15" fillId="0" borderId="31" xfId="0" applyFont="1" applyFill="1" applyBorder="1" applyAlignment="1">
      <alignment horizontal="center"/>
    </xf>
    <xf numFmtId="0" fontId="15" fillId="0" borderId="7" xfId="0" applyFont="1" applyFill="1" applyBorder="1" applyAlignment="1">
      <alignment horizontal="center"/>
    </xf>
    <xf numFmtId="0" fontId="0" fillId="0" borderId="7" xfId="0" applyFill="1" applyBorder="1" applyAlignment="1"/>
    <xf numFmtId="166" fontId="4" fillId="0" borderId="13" xfId="0" applyNumberFormat="1" applyFont="1" applyFill="1" applyBorder="1" applyAlignment="1">
      <alignment horizontal="center" vertical="center"/>
    </xf>
    <xf numFmtId="0" fontId="15" fillId="0" borderId="33" xfId="0" applyFont="1" applyFill="1" applyBorder="1" applyAlignment="1">
      <alignment horizontal="center"/>
    </xf>
    <xf numFmtId="0" fontId="15" fillId="0" borderId="11" xfId="0" applyFont="1" applyFill="1" applyBorder="1" applyAlignment="1">
      <alignment horizontal="center"/>
    </xf>
    <xf numFmtId="166" fontId="4" fillId="0" borderId="15" xfId="0" applyNumberFormat="1" applyFont="1" applyFill="1" applyBorder="1" applyAlignment="1">
      <alignment horizontal="center" vertical="center"/>
    </xf>
    <xf numFmtId="0" fontId="18" fillId="0" borderId="7" xfId="0" quotePrefix="1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18" fillId="4" borderId="7" xfId="0" quotePrefix="1" applyFont="1" applyFill="1" applyBorder="1" applyAlignment="1">
      <alignment horizontal="center" vertical="center"/>
    </xf>
    <xf numFmtId="0" fontId="19" fillId="0" borderId="7" xfId="0" quotePrefix="1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/>
    </xf>
    <xf numFmtId="164" fontId="18" fillId="0" borderId="7" xfId="0" applyNumberFormat="1" applyFont="1" applyFill="1" applyBorder="1" applyAlignment="1">
      <alignment horizontal="center" vertical="center"/>
    </xf>
    <xf numFmtId="164" fontId="19" fillId="0" borderId="7" xfId="0" applyNumberFormat="1" applyFont="1" applyFill="1" applyBorder="1" applyAlignment="1">
      <alignment horizontal="center" vertical="center"/>
    </xf>
    <xf numFmtId="0" fontId="18" fillId="0" borderId="12" xfId="0" quotePrefix="1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9" xfId="0" quotePrefix="1" applyFont="1" applyFill="1" applyBorder="1" applyAlignment="1">
      <alignment horizontal="center" vertical="center"/>
    </xf>
    <xf numFmtId="0" fontId="19" fillId="0" borderId="9" xfId="0" quotePrefix="1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64" fontId="18" fillId="0" borderId="9" xfId="0" applyNumberFormat="1" applyFont="1" applyFill="1" applyBorder="1" applyAlignment="1">
      <alignment horizontal="center" vertical="center"/>
    </xf>
    <xf numFmtId="164" fontId="19" fillId="0" borderId="12" xfId="0" applyNumberFormat="1" applyFont="1" applyFill="1" applyBorder="1" applyAlignment="1">
      <alignment horizontal="center" vertical="center"/>
    </xf>
    <xf numFmtId="0" fontId="18" fillId="0" borderId="9" xfId="0" quotePrefix="1" applyFont="1" applyFill="1" applyBorder="1" applyAlignment="1">
      <alignment horizontal="center" vertical="center"/>
    </xf>
    <xf numFmtId="0" fontId="19" fillId="4" borderId="9" xfId="0" applyFont="1" applyFill="1" applyBorder="1" applyAlignment="1">
      <alignment horizontal="center" vertical="center"/>
    </xf>
    <xf numFmtId="0" fontId="18" fillId="0" borderId="20" xfId="0" quotePrefix="1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4" borderId="20" xfId="0" quotePrefix="1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164" fontId="18" fillId="0" borderId="20" xfId="0" applyNumberFormat="1" applyFont="1" applyFill="1" applyBorder="1" applyAlignment="1">
      <alignment horizontal="center" vertical="center"/>
    </xf>
    <xf numFmtId="164" fontId="19" fillId="0" borderId="17" xfId="0" applyNumberFormat="1" applyFont="1" applyFill="1" applyBorder="1" applyAlignment="1">
      <alignment horizontal="center" vertical="center"/>
    </xf>
    <xf numFmtId="0" fontId="18" fillId="0" borderId="24" xfId="0" quotePrefix="1" applyFont="1" applyFill="1" applyBorder="1" applyAlignment="1">
      <alignment horizontal="center" vertical="center"/>
    </xf>
    <xf numFmtId="0" fontId="18" fillId="4" borderId="24" xfId="0" quotePrefix="1" applyFont="1" applyFill="1" applyBorder="1" applyAlignment="1">
      <alignment horizontal="center" vertical="center"/>
    </xf>
    <xf numFmtId="0" fontId="19" fillId="4" borderId="24" xfId="0" quotePrefix="1" applyFont="1" applyFill="1" applyBorder="1" applyAlignment="1">
      <alignment horizontal="center" vertical="center"/>
    </xf>
    <xf numFmtId="0" fontId="19" fillId="0" borderId="24" xfId="0" quotePrefix="1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164" fontId="18" fillId="0" borderId="24" xfId="0" applyNumberFormat="1" applyFont="1" applyFill="1" applyBorder="1" applyAlignment="1">
      <alignment horizontal="center" vertical="center"/>
    </xf>
    <xf numFmtId="164" fontId="19" fillId="0" borderId="24" xfId="0" applyNumberFormat="1" applyFont="1" applyFill="1" applyBorder="1" applyAlignment="1">
      <alignment horizontal="center" vertical="center"/>
    </xf>
    <xf numFmtId="0" fontId="18" fillId="0" borderId="22" xfId="0" quotePrefix="1" applyFont="1" applyFill="1" applyBorder="1" applyAlignment="1">
      <alignment horizontal="center" vertical="center"/>
    </xf>
    <xf numFmtId="0" fontId="18" fillId="4" borderId="22" xfId="0" applyFont="1" applyFill="1" applyBorder="1" applyAlignment="1">
      <alignment horizontal="center" vertical="center"/>
    </xf>
    <xf numFmtId="0" fontId="18" fillId="4" borderId="22" xfId="0" quotePrefix="1" applyFont="1" applyFill="1" applyBorder="1" applyAlignment="1">
      <alignment horizontal="center" vertical="center"/>
    </xf>
    <xf numFmtId="0" fontId="19" fillId="0" borderId="22" xfId="0" quotePrefix="1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164" fontId="18" fillId="0" borderId="22" xfId="0" applyNumberFormat="1" applyFont="1" applyFill="1" applyBorder="1" applyAlignment="1">
      <alignment horizontal="center" vertical="center"/>
    </xf>
    <xf numFmtId="164" fontId="19" fillId="0" borderId="22" xfId="0" applyNumberFormat="1" applyFont="1" applyFill="1" applyBorder="1" applyAlignment="1">
      <alignment horizontal="center" vertical="center"/>
    </xf>
    <xf numFmtId="0" fontId="18" fillId="0" borderId="7" xfId="0" quotePrefix="1" applyFont="1" applyFill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 wrapText="1"/>
    </xf>
    <xf numFmtId="0" fontId="18" fillId="4" borderId="7" xfId="0" quotePrefix="1" applyFont="1" applyFill="1" applyBorder="1" applyAlignment="1">
      <alignment horizontal="center" vertical="center" wrapText="1"/>
    </xf>
    <xf numFmtId="0" fontId="19" fillId="0" borderId="7" xfId="0" quotePrefix="1" applyFont="1" applyFill="1" applyBorder="1" applyAlignment="1">
      <alignment horizontal="center" vertical="center" wrapText="1"/>
    </xf>
    <xf numFmtId="0" fontId="19" fillId="0" borderId="7" xfId="0" applyFont="1" applyFill="1" applyBorder="1" applyAlignment="1">
      <alignment horizontal="center" vertical="center" wrapText="1"/>
    </xf>
    <xf numFmtId="164" fontId="18" fillId="0" borderId="7" xfId="0" applyNumberFormat="1" applyFont="1" applyFill="1" applyBorder="1" applyAlignment="1">
      <alignment horizontal="center" vertical="center" wrapText="1"/>
    </xf>
    <xf numFmtId="164" fontId="19" fillId="0" borderId="7" xfId="0" applyNumberFormat="1" applyFont="1" applyFill="1" applyBorder="1" applyAlignment="1">
      <alignment horizontal="center" vertical="center" wrapText="1"/>
    </xf>
    <xf numFmtId="0" fontId="18" fillId="0" borderId="11" xfId="0" quotePrefix="1" applyFont="1" applyFill="1" applyBorder="1" applyAlignment="1">
      <alignment horizontal="center" vertical="center"/>
    </xf>
    <xf numFmtId="0" fontId="18" fillId="4" borderId="11" xfId="0" applyFont="1" applyFill="1" applyBorder="1" applyAlignment="1">
      <alignment horizontal="center" vertical="center"/>
    </xf>
    <xf numFmtId="0" fontId="18" fillId="4" borderId="11" xfId="0" quotePrefix="1" applyFont="1" applyFill="1" applyBorder="1" applyAlignment="1">
      <alignment horizontal="center" vertical="center"/>
    </xf>
    <xf numFmtId="0" fontId="19" fillId="0" borderId="11" xfId="0" quotePrefix="1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/>
    </xf>
    <xf numFmtId="164" fontId="18" fillId="0" borderId="11" xfId="0" applyNumberFormat="1" applyFont="1" applyFill="1" applyBorder="1" applyAlignment="1">
      <alignment horizontal="center" vertical="center"/>
    </xf>
    <xf numFmtId="0" fontId="19" fillId="4" borderId="7" xfId="0" quotePrefix="1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166" fontId="19" fillId="0" borderId="9" xfId="0" applyNumberFormat="1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center" vertical="center"/>
    </xf>
    <xf numFmtId="0" fontId="19" fillId="6" borderId="7" xfId="0" applyFont="1" applyFill="1" applyBorder="1" applyAlignment="1">
      <alignment horizontal="center" vertical="center"/>
    </xf>
    <xf numFmtId="0" fontId="19" fillId="6" borderId="9" xfId="0" applyFont="1" applyFill="1" applyBorder="1" applyAlignment="1">
      <alignment horizontal="center" vertical="center"/>
    </xf>
    <xf numFmtId="0" fontId="21" fillId="7" borderId="20" xfId="1" quotePrefix="1" applyFont="1" applyFill="1" applyBorder="1" applyAlignment="1">
      <alignment horizontal="center" vertical="center"/>
    </xf>
    <xf numFmtId="164" fontId="22" fillId="7" borderId="20" xfId="0" quotePrefix="1" applyNumberFormat="1" applyFont="1" applyFill="1" applyBorder="1" applyAlignment="1">
      <alignment horizontal="center" vertical="center"/>
    </xf>
    <xf numFmtId="164" fontId="22" fillId="7" borderId="17" xfId="0" quotePrefix="1" applyNumberFormat="1" applyFont="1" applyFill="1" applyBorder="1" applyAlignment="1">
      <alignment horizontal="center" vertical="center"/>
    </xf>
    <xf numFmtId="0" fontId="22" fillId="7" borderId="20" xfId="0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0" fontId="19" fillId="0" borderId="6" xfId="0" quotePrefix="1" applyFont="1" applyBorder="1" applyAlignment="1">
      <alignment horizontal="left" vertical="center"/>
    </xf>
    <xf numFmtId="0" fontId="19" fillId="0" borderId="7" xfId="0" quotePrefix="1" applyFont="1" applyBorder="1" applyAlignment="1">
      <alignment horizontal="center" vertical="center"/>
    </xf>
    <xf numFmtId="0" fontId="19" fillId="0" borderId="7" xfId="0" quotePrefix="1" applyFont="1" applyBorder="1" applyAlignment="1">
      <alignment horizontal="center"/>
    </xf>
    <xf numFmtId="0" fontId="19" fillId="0" borderId="7" xfId="0" applyFont="1" applyBorder="1" applyAlignment="1">
      <alignment horizontal="center" vertical="center"/>
    </xf>
    <xf numFmtId="164" fontId="23" fillId="0" borderId="7" xfId="1" applyNumberFormat="1" applyFont="1" applyBorder="1" applyAlignment="1">
      <alignment horizontal="center" vertical="center"/>
    </xf>
    <xf numFmtId="0" fontId="19" fillId="0" borderId="8" xfId="0" quotePrefix="1" applyFont="1" applyBorder="1" applyAlignment="1">
      <alignment horizontal="left" vertical="center"/>
    </xf>
    <xf numFmtId="0" fontId="19" fillId="0" borderId="9" xfId="0" quotePrefix="1" applyFont="1" applyBorder="1" applyAlignment="1">
      <alignment horizontal="center" vertical="center"/>
    </xf>
    <xf numFmtId="0" fontId="19" fillId="0" borderId="9" xfId="0" quotePrefix="1" applyFont="1" applyBorder="1" applyAlignment="1">
      <alignment horizontal="center"/>
    </xf>
    <xf numFmtId="0" fontId="19" fillId="0" borderId="9" xfId="0" applyFont="1" applyBorder="1" applyAlignment="1">
      <alignment horizontal="center" vertical="center"/>
    </xf>
    <xf numFmtId="164" fontId="23" fillId="0" borderId="9" xfId="1" applyNumberFormat="1" applyFont="1" applyBorder="1" applyAlignment="1">
      <alignment horizontal="center" vertical="center"/>
    </xf>
    <xf numFmtId="0" fontId="19" fillId="0" borderId="9" xfId="0" quotePrefix="1" applyFont="1" applyBorder="1" applyAlignment="1">
      <alignment horizontal="center" vertical="center" wrapText="1"/>
    </xf>
    <xf numFmtId="0" fontId="23" fillId="0" borderId="9" xfId="1" quotePrefix="1" applyFont="1" applyBorder="1" applyAlignment="1">
      <alignment horizontal="center" vertical="center"/>
    </xf>
    <xf numFmtId="0" fontId="19" fillId="0" borderId="26" xfId="0" quotePrefix="1" applyFont="1" applyBorder="1" applyAlignment="1">
      <alignment horizontal="left" vertical="center"/>
    </xf>
    <xf numFmtId="0" fontId="19" fillId="0" borderId="20" xfId="0" quotePrefix="1" applyFont="1" applyBorder="1" applyAlignment="1">
      <alignment horizontal="center" vertical="center" wrapText="1"/>
    </xf>
    <xf numFmtId="0" fontId="19" fillId="0" borderId="20" xfId="0" quotePrefix="1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164" fontId="23" fillId="0" borderId="20" xfId="1" applyNumberFormat="1" applyFont="1" applyBorder="1" applyAlignment="1">
      <alignment horizontal="center" vertical="center"/>
    </xf>
    <xf numFmtId="0" fontId="19" fillId="0" borderId="30" xfId="0" quotePrefix="1" applyFont="1" applyBorder="1" applyAlignment="1">
      <alignment vertical="center"/>
    </xf>
    <xf numFmtId="0" fontId="19" fillId="0" borderId="24" xfId="0" quotePrefix="1" applyFont="1" applyBorder="1" applyAlignment="1">
      <alignment horizontal="center" vertical="center" wrapText="1"/>
    </xf>
    <xf numFmtId="0" fontId="19" fillId="0" borderId="24" xfId="0" quotePrefix="1" applyFont="1" applyBorder="1" applyAlignment="1">
      <alignment horizontal="center" vertical="center"/>
    </xf>
    <xf numFmtId="0" fontId="23" fillId="0" borderId="24" xfId="1" quotePrefix="1" applyFont="1" applyBorder="1" applyAlignment="1">
      <alignment horizontal="center" vertical="center"/>
    </xf>
    <xf numFmtId="0" fontId="19" fillId="0" borderId="28" xfId="0" quotePrefix="1" applyFont="1" applyBorder="1" applyAlignment="1">
      <alignment vertical="center" wrapText="1"/>
    </xf>
    <xf numFmtId="0" fontId="19" fillId="0" borderId="22" xfId="0" quotePrefix="1" applyFont="1" applyBorder="1" applyAlignment="1">
      <alignment horizontal="center" vertical="center" wrapText="1"/>
    </xf>
    <xf numFmtId="0" fontId="19" fillId="0" borderId="22" xfId="0" quotePrefix="1" applyFont="1" applyBorder="1" applyAlignment="1">
      <alignment horizontal="center" vertical="center"/>
    </xf>
    <xf numFmtId="0" fontId="23" fillId="0" borderId="22" xfId="1" quotePrefix="1" applyFont="1" applyBorder="1" applyAlignment="1">
      <alignment horizontal="center" vertical="center"/>
    </xf>
    <xf numFmtId="0" fontId="19" fillId="0" borderId="6" xfId="0" quotePrefix="1" applyFont="1" applyBorder="1" applyAlignment="1">
      <alignment vertical="center" wrapText="1"/>
    </xf>
    <xf numFmtId="0" fontId="19" fillId="0" borderId="7" xfId="0" quotePrefix="1" applyFont="1" applyBorder="1" applyAlignment="1">
      <alignment horizontal="center" vertical="center" wrapText="1"/>
    </xf>
    <xf numFmtId="0" fontId="23" fillId="4" borderId="7" xfId="1" quotePrefix="1" applyFont="1" applyFill="1" applyBorder="1" applyAlignment="1">
      <alignment horizontal="center" vertical="center" wrapText="1"/>
    </xf>
    <xf numFmtId="0" fontId="19" fillId="0" borderId="10" xfId="0" quotePrefix="1" applyFont="1" applyBorder="1" applyAlignment="1">
      <alignment vertical="center" wrapText="1"/>
    </xf>
    <xf numFmtId="0" fontId="19" fillId="0" borderId="11" xfId="0" quotePrefix="1" applyFont="1" applyBorder="1" applyAlignment="1">
      <alignment horizontal="center" vertical="center" wrapText="1"/>
    </xf>
    <xf numFmtId="0" fontId="19" fillId="0" borderId="11" xfId="0" quotePrefix="1" applyFont="1" applyBorder="1" applyAlignment="1">
      <alignment horizontal="center" vertical="center"/>
    </xf>
    <xf numFmtId="0" fontId="23" fillId="0" borderId="11" xfId="1" quotePrefix="1" applyFont="1" applyBorder="1" applyAlignment="1">
      <alignment horizontal="center" vertical="center"/>
    </xf>
    <xf numFmtId="0" fontId="22" fillId="0" borderId="7" xfId="0" quotePrefix="1" applyFont="1" applyBorder="1" applyAlignment="1">
      <alignment horizontal="center" vertical="center"/>
    </xf>
    <xf numFmtId="0" fontId="23" fillId="0" borderId="7" xfId="1" applyFont="1" applyBorder="1" applyAlignment="1">
      <alignment horizontal="center" vertical="center"/>
    </xf>
    <xf numFmtId="0" fontId="23" fillId="0" borderId="11" xfId="1" applyFont="1" applyBorder="1" applyAlignment="1">
      <alignment horizontal="center" vertical="center"/>
    </xf>
    <xf numFmtId="0" fontId="23" fillId="0" borderId="7" xfId="1" quotePrefix="1" applyFont="1" applyBorder="1" applyAlignment="1">
      <alignment horizontal="center" vertical="center"/>
    </xf>
    <xf numFmtId="0" fontId="19" fillId="0" borderId="8" xfId="0" quotePrefix="1" applyFont="1" applyBorder="1" applyAlignment="1">
      <alignment vertical="center" wrapText="1"/>
    </xf>
    <xf numFmtId="0" fontId="23" fillId="0" borderId="9" xfId="1" quotePrefix="1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23" fillId="0" borderId="11" xfId="1" quotePrefix="1" applyFont="1" applyFill="1" applyBorder="1" applyAlignment="1">
      <alignment horizontal="center" vertical="center"/>
    </xf>
    <xf numFmtId="0" fontId="23" fillId="0" borderId="7" xfId="1" quotePrefix="1" applyFont="1" applyFill="1" applyBorder="1" applyAlignment="1">
      <alignment horizontal="center" vertical="center"/>
    </xf>
    <xf numFmtId="0" fontId="22" fillId="0" borderId="9" xfId="0" quotePrefix="1" applyFont="1" applyBorder="1" applyAlignment="1">
      <alignment horizontal="center" vertical="center"/>
    </xf>
    <xf numFmtId="0" fontId="22" fillId="7" borderId="26" xfId="0" quotePrefix="1" applyFont="1" applyFill="1" applyBorder="1" applyAlignment="1">
      <alignment vertical="center" wrapText="1"/>
    </xf>
    <xf numFmtId="0" fontId="22" fillId="7" borderId="20" xfId="0" quotePrefix="1" applyFont="1" applyFill="1" applyBorder="1" applyAlignment="1">
      <alignment horizontal="center" vertical="center" wrapText="1"/>
    </xf>
    <xf numFmtId="0" fontId="22" fillId="7" borderId="20" xfId="0" quotePrefix="1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9" fillId="8" borderId="8" xfId="0" quotePrefix="1" applyFont="1" applyFill="1" applyBorder="1" applyAlignment="1">
      <alignment vertical="center" wrapText="1"/>
    </xf>
    <xf numFmtId="0" fontId="19" fillId="8" borderId="9" xfId="0" quotePrefix="1" applyFont="1" applyFill="1" applyBorder="1" applyAlignment="1">
      <alignment horizontal="center" vertical="center" wrapText="1"/>
    </xf>
    <xf numFmtId="0" fontId="19" fillId="8" borderId="9" xfId="0" quotePrefix="1" applyFont="1" applyFill="1" applyBorder="1" applyAlignment="1">
      <alignment horizontal="center" vertical="center"/>
    </xf>
    <xf numFmtId="0" fontId="18" fillId="8" borderId="9" xfId="0" quotePrefix="1" applyFont="1" applyFill="1" applyBorder="1" applyAlignment="1">
      <alignment horizontal="center" vertical="center"/>
    </xf>
    <xf numFmtId="0" fontId="19" fillId="8" borderId="9" xfId="0" applyFont="1" applyFill="1" applyBorder="1" applyAlignment="1">
      <alignment horizontal="center" vertical="center"/>
    </xf>
    <xf numFmtId="0" fontId="19" fillId="8" borderId="12" xfId="0" applyFont="1" applyFill="1" applyBorder="1" applyAlignment="1">
      <alignment horizontal="center" vertical="center"/>
    </xf>
    <xf numFmtId="0" fontId="20" fillId="8" borderId="9" xfId="1" quotePrefix="1" applyFont="1" applyFill="1" applyBorder="1" applyAlignment="1">
      <alignment horizontal="center" vertical="center"/>
    </xf>
    <xf numFmtId="164" fontId="18" fillId="8" borderId="9" xfId="0" applyNumberFormat="1" applyFont="1" applyFill="1" applyBorder="1" applyAlignment="1">
      <alignment horizontal="center" vertical="center"/>
    </xf>
    <xf numFmtId="164" fontId="19" fillId="8" borderId="12" xfId="0" applyNumberFormat="1" applyFont="1" applyFill="1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/>
    </xf>
    <xf numFmtId="166" fontId="10" fillId="8" borderId="14" xfId="0" applyNumberFormat="1" applyFont="1" applyFill="1" applyBorder="1" applyAlignment="1">
      <alignment horizontal="center" vertical="center"/>
    </xf>
    <xf numFmtId="0" fontId="24" fillId="4" borderId="23" xfId="0" quotePrefix="1" applyFont="1" applyFill="1" applyBorder="1" applyAlignment="1">
      <alignment vertical="center" wrapText="1"/>
    </xf>
    <xf numFmtId="0" fontId="24" fillId="4" borderId="24" xfId="0" quotePrefix="1" applyFont="1" applyFill="1" applyBorder="1" applyAlignment="1">
      <alignment horizontal="center" vertical="center" wrapText="1"/>
    </xf>
    <xf numFmtId="0" fontId="21" fillId="4" borderId="24" xfId="1" quotePrefix="1" applyFont="1" applyFill="1" applyBorder="1" applyAlignment="1">
      <alignment horizontal="center" vertical="center"/>
    </xf>
    <xf numFmtId="164" fontId="22" fillId="4" borderId="24" xfId="0" quotePrefix="1" applyNumberFormat="1" applyFont="1" applyFill="1" applyBorder="1" applyAlignment="1">
      <alignment horizontal="center" vertical="center"/>
    </xf>
    <xf numFmtId="0" fontId="22" fillId="4" borderId="24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 wrapText="1"/>
    </xf>
    <xf numFmtId="166" fontId="9" fillId="4" borderId="25" xfId="0" applyNumberFormat="1" applyFont="1" applyFill="1" applyBorder="1" applyAlignment="1">
      <alignment horizontal="center" vertical="center"/>
    </xf>
    <xf numFmtId="0" fontId="25" fillId="4" borderId="24" xfId="0" quotePrefix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csc.com/product-detail/Multilayer-Ceramic-Capacitors-MLCC-SMD-SMT_YAGEO-CC0603KRX7R8BB684_C2838708.html" TargetMode="External"/><Relationship Id="rId13" Type="http://schemas.openxmlformats.org/officeDocument/2006/relationships/hyperlink" Target="https://lcsc.com/product-detail/Chip-Resistor-Surface-Mount_YAGEO-RC0603FR-0710KL_C98220.html" TargetMode="External"/><Relationship Id="rId18" Type="http://schemas.openxmlformats.org/officeDocument/2006/relationships/hyperlink" Target="https://lcsc.com/product-detail/Digital-Transistors_Changjiang-Electronics-Tech-CJ-UMH3N_C62892.html" TargetMode="External"/><Relationship Id="rId3" Type="http://schemas.openxmlformats.org/officeDocument/2006/relationships/hyperlink" Target="https://lcsc.com/product-detail/Multilayer-Ceramic-Capacitors-MLCC-SMD-SMT_YAGEO-CC0603KRX5R8BB105_C14664.html" TargetMode="External"/><Relationship Id="rId21" Type="http://schemas.openxmlformats.org/officeDocument/2006/relationships/hyperlink" Target="https://www.aliexpress.com/item/1005004089435268.html?spm=a2g0o.productlist.0.0.6d4c23a3IMpOB5&amp;algo_pvid=0ff5ad9b-4e6d-40bb-b285-c7d8d4844c1b&amp;algo_exp_id=0ff5ad9b-4e6d-40bb-b285-c7d8d4844c1b-1&amp;pdp_ext_f=%7B%22sku_id%22%3A%2212000027995766890%22%7D&amp;pdp_pi=-1%3B6.5%3B-1%3B10.35%40salePrice%3BUSD%3Bsearch-mainSearch" TargetMode="External"/><Relationship Id="rId7" Type="http://schemas.openxmlformats.org/officeDocument/2006/relationships/hyperlink" Target="https://lcsc.com/product-detail/Multilayer-Ceramic-Capacitors-MLCC-SMD-SMT_YAGEO-CC0603JRNPO9BN180_C107040.html" TargetMode="External"/><Relationship Id="rId12" Type="http://schemas.openxmlformats.org/officeDocument/2006/relationships/hyperlink" Target="https://lcsc.com/product-detail/Chip-Resistor-Surface-Mount_FH-Guangdong-Fenghua-Advanced-Tech-RS-03K104JT_C73806.html" TargetMode="External"/><Relationship Id="rId17" Type="http://schemas.openxmlformats.org/officeDocument/2006/relationships/hyperlink" Target="https://lcsc.com/product-detail/WiFi-Modules_Espressif-Systems-ESP32-WROOM-32E-8MB_C701342.html" TargetMode="External"/><Relationship Id="rId2" Type="http://schemas.openxmlformats.org/officeDocument/2006/relationships/hyperlink" Target="https://lcsc.com/product-detail/Multilayer-Ceramic-Capacitors-MLCC-SMD-SMT_Samsung-Electro-Mechanics-CL10A475KA8NQNC_C69335.html" TargetMode="External"/><Relationship Id="rId16" Type="http://schemas.openxmlformats.org/officeDocument/2006/relationships/hyperlink" Target="https://www.alibaba.com/product-detail/ADS131M08IPBSR-IC-CHIP-24-Bit-Analog_1600458492606.html?spm=a2700.galleryofferlist.normal_offer.d_title.166135edVJbNHe" TargetMode="External"/><Relationship Id="rId20" Type="http://schemas.openxmlformats.org/officeDocument/2006/relationships/hyperlink" Target="https://lcsc.com/product-detail/Wire-To-Board-Wire-To-Wire-Connector_DEALON-XHB-2A_C2904969.html" TargetMode="External"/><Relationship Id="rId1" Type="http://schemas.openxmlformats.org/officeDocument/2006/relationships/hyperlink" Target="https://lcsc.com/product-detail/Multilayer-Ceramic-Capacitors-MLCC-SMD-SMT_Samsung-Electro-Mechanics-CL10A106MA8NRNC_C2922482.html" TargetMode="External"/><Relationship Id="rId6" Type="http://schemas.openxmlformats.org/officeDocument/2006/relationships/hyperlink" Target="https://lcsc.com/product-detail/Multilayer-Ceramic-Capacitors-MLCC-SMD-SMT_Taiyo-Yuden-UMK107C7224KAHTE_C386159.html" TargetMode="External"/><Relationship Id="rId11" Type="http://schemas.openxmlformats.org/officeDocument/2006/relationships/hyperlink" Target="https://lcsc.com/product-detail/Crystals_JGHC-S3224576121060_C390772.html" TargetMode="External"/><Relationship Id="rId5" Type="http://schemas.openxmlformats.org/officeDocument/2006/relationships/hyperlink" Target="https://lcsc.com/product-detail/Multilayer-Ceramic-Capacitors-MLCC-SMD-SMT_YAGEO-CC0603KRX7R0BB104_C113803.html" TargetMode="External"/><Relationship Id="rId15" Type="http://schemas.openxmlformats.org/officeDocument/2006/relationships/hyperlink" Target="https://lcsc.com/product-detail/Linear-Voltage-Regulators-LDO_Torex-Semicon-XC6220B331MR-G_C86534.html" TargetMode="External"/><Relationship Id="rId10" Type="http://schemas.openxmlformats.org/officeDocument/2006/relationships/hyperlink" Target="https://lcsc.com/product-detail/Crystals_JYJE-3TJ481920NYLBC_C2898996.html" TargetMode="External"/><Relationship Id="rId19" Type="http://schemas.openxmlformats.org/officeDocument/2006/relationships/hyperlink" Target="https://lcsc.com/product-detail/span-style-background-color-ff0-Pin-span-Headers_PINREX-210-91-05GB03_C390683.html" TargetMode="External"/><Relationship Id="rId4" Type="http://schemas.openxmlformats.org/officeDocument/2006/relationships/hyperlink" Target="https://lcsc.com/product-detail/Multilayer-Ceramic-Capacitors-MLCC-SMD-SMT_YAGEO-CC0402JRNPO9BN221_C107001.html" TargetMode="External"/><Relationship Id="rId9" Type="http://schemas.openxmlformats.org/officeDocument/2006/relationships/hyperlink" Target="https://lcsc.com/product-detail/Tactile-Switches_XKB-Connectivity-TS-1185EC-C-D-B_C318893.html" TargetMode="External"/><Relationship Id="rId14" Type="http://schemas.openxmlformats.org/officeDocument/2006/relationships/hyperlink" Target="https://lcsc.com/product-detail/Power-Distribution-Switches_Texas-Instruments-LM66100DCKR_C2869734.html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"/>
  <sheetViews>
    <sheetView tabSelected="1" topLeftCell="E16" workbookViewId="0">
      <selection activeCell="S31" sqref="S31"/>
    </sheetView>
  </sheetViews>
  <sheetFormatPr defaultColWidth="9" defaultRowHeight="15"/>
  <cols>
    <col min="1" max="1" width="6.140625" style="2" customWidth="1"/>
    <col min="2" max="2" width="14.42578125" style="1" customWidth="1"/>
    <col min="3" max="3" width="47.5703125" style="20" customWidth="1"/>
    <col min="4" max="4" width="33.140625" style="31" customWidth="1"/>
    <col min="5" max="5" width="21" style="2" customWidth="1"/>
    <col min="6" max="6" width="28.42578125" style="2" bestFit="1" customWidth="1"/>
    <col min="7" max="7" width="14.7109375" style="1" bestFit="1" customWidth="1"/>
    <col min="8" max="8" width="14.28515625" style="2" bestFit="1" customWidth="1"/>
    <col min="9" max="9" width="11.85546875" style="1" bestFit="1" customWidth="1"/>
    <col min="10" max="10" width="6.42578125" style="2" bestFit="1" customWidth="1"/>
    <col min="11" max="11" width="14.85546875" style="1" bestFit="1" customWidth="1"/>
    <col min="12" max="12" width="21.85546875" style="1" customWidth="1"/>
    <col min="13" max="13" width="11.42578125" style="1" bestFit="1" customWidth="1"/>
    <col min="14" max="14" width="9.140625" style="1" bestFit="1" customWidth="1"/>
    <col min="15" max="15" width="12.42578125" style="1" bestFit="1" customWidth="1"/>
    <col min="16" max="16" width="13.5703125" style="1" bestFit="1" customWidth="1"/>
    <col min="17" max="17" width="20.7109375" style="1" bestFit="1" customWidth="1"/>
    <col min="18" max="18" width="49.7109375" style="1" bestFit="1" customWidth="1"/>
    <col min="19" max="16384" width="9" style="1"/>
  </cols>
  <sheetData>
    <row r="1" spans="1:19" ht="16.5" thickBot="1">
      <c r="A1" s="26" t="s">
        <v>168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8"/>
    </row>
    <row r="2" spans="1:19" ht="16.5" thickBot="1">
      <c r="A2" s="3" t="s">
        <v>0</v>
      </c>
      <c r="B2" s="4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49</v>
      </c>
      <c r="L2" s="5" t="s">
        <v>10</v>
      </c>
      <c r="M2" s="5" t="s">
        <v>46</v>
      </c>
      <c r="N2" s="5" t="s">
        <v>11</v>
      </c>
      <c r="O2" s="4" t="s">
        <v>47</v>
      </c>
      <c r="P2" s="5" t="s">
        <v>48</v>
      </c>
      <c r="Q2" s="5" t="s">
        <v>12</v>
      </c>
      <c r="R2" s="5" t="s">
        <v>13</v>
      </c>
    </row>
    <row r="3" spans="1:19" ht="15.75" thickBot="1">
      <c r="A3" s="6">
        <v>1</v>
      </c>
      <c r="B3" s="34" t="s">
        <v>14</v>
      </c>
      <c r="C3" s="129" t="s">
        <v>50</v>
      </c>
      <c r="D3" s="130" t="s">
        <v>51</v>
      </c>
      <c r="E3" s="131" t="s">
        <v>52</v>
      </c>
      <c r="F3" s="131" t="s">
        <v>53</v>
      </c>
      <c r="G3" s="68" t="s">
        <v>124</v>
      </c>
      <c r="H3" s="69" t="s">
        <v>125</v>
      </c>
      <c r="I3" s="70" t="s">
        <v>40</v>
      </c>
      <c r="J3" s="130" t="s">
        <v>20</v>
      </c>
      <c r="K3" s="71">
        <v>20</v>
      </c>
      <c r="L3" s="132">
        <v>3</v>
      </c>
      <c r="M3" s="72">
        <f>L3*5</f>
        <v>15</v>
      </c>
      <c r="N3" s="133" t="s">
        <v>16</v>
      </c>
      <c r="O3" s="73">
        <v>2.58E-2</v>
      </c>
      <c r="P3" s="74">
        <f>O3*K3</f>
        <v>0.51600000000000001</v>
      </c>
      <c r="Q3" s="12"/>
      <c r="R3" s="13"/>
    </row>
    <row r="4" spans="1:19" ht="15.75" thickBot="1">
      <c r="A4" s="6">
        <v>2</v>
      </c>
      <c r="B4" s="35"/>
      <c r="C4" s="134" t="s">
        <v>21</v>
      </c>
      <c r="D4" s="135" t="s">
        <v>54</v>
      </c>
      <c r="E4" s="136" t="s">
        <v>52</v>
      </c>
      <c r="F4" s="136" t="s">
        <v>55</v>
      </c>
      <c r="G4" s="75" t="s">
        <v>124</v>
      </c>
      <c r="H4" s="76" t="s">
        <v>126</v>
      </c>
      <c r="I4" s="77" t="s">
        <v>40</v>
      </c>
      <c r="J4" s="135" t="s">
        <v>73</v>
      </c>
      <c r="K4" s="78">
        <v>20</v>
      </c>
      <c r="L4" s="137">
        <v>1</v>
      </c>
      <c r="M4" s="79">
        <f t="shared" ref="M4:M27" si="0">L4*5</f>
        <v>5</v>
      </c>
      <c r="N4" s="138" t="s">
        <v>16</v>
      </c>
      <c r="O4" s="80">
        <v>2.0299999999999999E-2</v>
      </c>
      <c r="P4" s="81">
        <f t="shared" ref="P4:P25" si="1">O4*K4</f>
        <v>0.40599999999999997</v>
      </c>
      <c r="Q4" s="14"/>
      <c r="R4" s="15"/>
    </row>
    <row r="5" spans="1:19" ht="26.25" thickBot="1">
      <c r="A5" s="6">
        <v>3</v>
      </c>
      <c r="B5" s="35"/>
      <c r="C5" s="134" t="s">
        <v>56</v>
      </c>
      <c r="D5" s="139" t="s">
        <v>57</v>
      </c>
      <c r="E5" s="135" t="s">
        <v>52</v>
      </c>
      <c r="F5" s="135" t="s">
        <v>58</v>
      </c>
      <c r="G5" s="82" t="s">
        <v>127</v>
      </c>
      <c r="H5" s="76" t="s">
        <v>128</v>
      </c>
      <c r="I5" s="77" t="s">
        <v>40</v>
      </c>
      <c r="J5" s="135" t="s">
        <v>15</v>
      </c>
      <c r="K5" s="78">
        <v>100</v>
      </c>
      <c r="L5" s="137">
        <v>15</v>
      </c>
      <c r="M5" s="79">
        <f t="shared" si="0"/>
        <v>75</v>
      </c>
      <c r="N5" s="138" t="s">
        <v>16</v>
      </c>
      <c r="O5" s="80">
        <v>7.3000000000000001E-3</v>
      </c>
      <c r="P5" s="81">
        <f t="shared" si="1"/>
        <v>0.73</v>
      </c>
      <c r="Q5" s="14"/>
      <c r="R5" s="15"/>
      <c r="S5" s="11"/>
    </row>
    <row r="6" spans="1:19" ht="15.75" thickBot="1">
      <c r="A6" s="6">
        <v>4</v>
      </c>
      <c r="B6" s="35"/>
      <c r="C6" s="134" t="s">
        <v>59</v>
      </c>
      <c r="D6" s="135" t="s">
        <v>60</v>
      </c>
      <c r="E6" s="136" t="s">
        <v>61</v>
      </c>
      <c r="F6" s="136" t="s">
        <v>62</v>
      </c>
      <c r="G6" s="82" t="s">
        <v>127</v>
      </c>
      <c r="H6" s="76" t="s">
        <v>129</v>
      </c>
      <c r="I6" s="77" t="s">
        <v>40</v>
      </c>
      <c r="J6" s="135" t="s">
        <v>74</v>
      </c>
      <c r="K6" s="78">
        <v>100</v>
      </c>
      <c r="L6" s="137">
        <v>8</v>
      </c>
      <c r="M6" s="79">
        <f t="shared" si="0"/>
        <v>40</v>
      </c>
      <c r="N6" s="140" t="s">
        <v>16</v>
      </c>
      <c r="O6" s="80">
        <v>3.7000000000000002E-3</v>
      </c>
      <c r="P6" s="81">
        <f t="shared" si="1"/>
        <v>0.37</v>
      </c>
      <c r="Q6" s="14"/>
      <c r="R6" s="15"/>
      <c r="S6" s="11"/>
    </row>
    <row r="7" spans="1:19" ht="39" thickBot="1">
      <c r="A7" s="6">
        <v>5</v>
      </c>
      <c r="B7" s="35"/>
      <c r="C7" s="134" t="s">
        <v>17</v>
      </c>
      <c r="D7" s="139" t="s">
        <v>63</v>
      </c>
      <c r="E7" s="135" t="s">
        <v>52</v>
      </c>
      <c r="F7" s="135" t="s">
        <v>18</v>
      </c>
      <c r="G7" s="82" t="s">
        <v>127</v>
      </c>
      <c r="H7" s="76" t="s">
        <v>130</v>
      </c>
      <c r="I7" s="77" t="s">
        <v>40</v>
      </c>
      <c r="J7" s="135" t="s">
        <v>19</v>
      </c>
      <c r="K7" s="78">
        <v>150</v>
      </c>
      <c r="L7" s="137">
        <v>24</v>
      </c>
      <c r="M7" s="79">
        <f t="shared" si="0"/>
        <v>120</v>
      </c>
      <c r="N7" s="140" t="s">
        <v>16</v>
      </c>
      <c r="O7" s="80">
        <v>7.9000000000000008E-3</v>
      </c>
      <c r="P7" s="81">
        <f t="shared" si="1"/>
        <v>1.1850000000000001</v>
      </c>
      <c r="Q7" s="37"/>
      <c r="R7" s="15"/>
      <c r="S7" s="11"/>
    </row>
    <row r="8" spans="1:19" ht="15.75" thickBot="1">
      <c r="A8" s="6">
        <v>6</v>
      </c>
      <c r="B8" s="35"/>
      <c r="C8" s="134" t="s">
        <v>64</v>
      </c>
      <c r="D8" s="135" t="s">
        <v>65</v>
      </c>
      <c r="E8" s="136" t="s">
        <v>52</v>
      </c>
      <c r="F8" s="136" t="s">
        <v>66</v>
      </c>
      <c r="G8" s="82" t="s">
        <v>131</v>
      </c>
      <c r="H8" s="83" t="s">
        <v>132</v>
      </c>
      <c r="I8" s="77" t="s">
        <v>40</v>
      </c>
      <c r="J8" s="135" t="s">
        <v>75</v>
      </c>
      <c r="K8" s="82">
        <v>10</v>
      </c>
      <c r="L8" s="137">
        <v>1</v>
      </c>
      <c r="M8" s="79">
        <f t="shared" si="0"/>
        <v>5</v>
      </c>
      <c r="N8" s="140" t="s">
        <v>16</v>
      </c>
      <c r="O8" s="80">
        <v>4.4299999999999999E-2</v>
      </c>
      <c r="P8" s="81">
        <f t="shared" si="1"/>
        <v>0.443</v>
      </c>
      <c r="Q8" s="14"/>
      <c r="R8" s="15"/>
      <c r="S8" s="11"/>
    </row>
    <row r="9" spans="1:19" ht="15.75" thickBot="1">
      <c r="A9" s="6">
        <v>7</v>
      </c>
      <c r="B9" s="35"/>
      <c r="C9" s="134" t="s">
        <v>67</v>
      </c>
      <c r="D9" s="135" t="s">
        <v>68</v>
      </c>
      <c r="E9" s="136" t="s">
        <v>52</v>
      </c>
      <c r="F9" s="136" t="s">
        <v>69</v>
      </c>
      <c r="G9" s="82" t="s">
        <v>127</v>
      </c>
      <c r="H9" s="76" t="s">
        <v>133</v>
      </c>
      <c r="I9" s="77" t="s">
        <v>40</v>
      </c>
      <c r="J9" s="135" t="s">
        <v>76</v>
      </c>
      <c r="K9" s="82">
        <v>100</v>
      </c>
      <c r="L9" s="137">
        <v>6</v>
      </c>
      <c r="M9" s="79">
        <f t="shared" si="0"/>
        <v>30</v>
      </c>
      <c r="N9" s="138" t="s">
        <v>16</v>
      </c>
      <c r="O9" s="80">
        <v>3.2000000000000002E-3</v>
      </c>
      <c r="P9" s="81">
        <f t="shared" si="1"/>
        <v>0.32</v>
      </c>
      <c r="Q9" s="14"/>
      <c r="R9" s="15"/>
      <c r="S9" s="11"/>
    </row>
    <row r="10" spans="1:19" ht="26.25" thickBot="1">
      <c r="A10" s="6">
        <v>8</v>
      </c>
      <c r="B10" s="36"/>
      <c r="C10" s="141" t="s">
        <v>70</v>
      </c>
      <c r="D10" s="142" t="s">
        <v>71</v>
      </c>
      <c r="E10" s="143" t="s">
        <v>52</v>
      </c>
      <c r="F10" s="143" t="s">
        <v>72</v>
      </c>
      <c r="G10" s="84" t="s">
        <v>127</v>
      </c>
      <c r="H10" s="85" t="s">
        <v>134</v>
      </c>
      <c r="I10" s="86" t="s">
        <v>40</v>
      </c>
      <c r="J10" s="143" t="s">
        <v>77</v>
      </c>
      <c r="K10" s="84">
        <v>100</v>
      </c>
      <c r="L10" s="144">
        <v>16</v>
      </c>
      <c r="M10" s="87">
        <f t="shared" si="0"/>
        <v>80</v>
      </c>
      <c r="N10" s="145" t="s">
        <v>16</v>
      </c>
      <c r="O10" s="88">
        <v>1.7299999999999999E-2</v>
      </c>
      <c r="P10" s="89">
        <f t="shared" si="1"/>
        <v>1.73</v>
      </c>
      <c r="Q10" s="42"/>
      <c r="R10" s="43"/>
      <c r="S10" s="11"/>
    </row>
    <row r="11" spans="1:19" ht="26.25" thickBot="1">
      <c r="A11" s="6">
        <v>9</v>
      </c>
      <c r="B11" s="40" t="s">
        <v>81</v>
      </c>
      <c r="C11" s="146" t="s">
        <v>78</v>
      </c>
      <c r="D11" s="147" t="s">
        <v>79</v>
      </c>
      <c r="E11" s="148" t="s">
        <v>28</v>
      </c>
      <c r="F11" s="148" t="s">
        <v>80</v>
      </c>
      <c r="G11" s="90" t="s">
        <v>164</v>
      </c>
      <c r="H11" s="91" t="s">
        <v>162</v>
      </c>
      <c r="I11" s="92" t="s">
        <v>163</v>
      </c>
      <c r="J11" s="93" t="s">
        <v>22</v>
      </c>
      <c r="K11" s="93">
        <v>42</v>
      </c>
      <c r="L11" s="94">
        <v>8</v>
      </c>
      <c r="M11" s="94">
        <f t="shared" si="0"/>
        <v>40</v>
      </c>
      <c r="N11" s="149" t="s">
        <v>34</v>
      </c>
      <c r="O11" s="95">
        <v>6.5</v>
      </c>
      <c r="P11" s="96">
        <f t="shared" si="1"/>
        <v>273</v>
      </c>
      <c r="Q11" s="49" t="s">
        <v>149</v>
      </c>
      <c r="R11" s="50"/>
      <c r="S11" s="11"/>
    </row>
    <row r="12" spans="1:19" ht="26.25" thickBot="1">
      <c r="A12" s="6">
        <v>10</v>
      </c>
      <c r="B12" s="40" t="s">
        <v>26</v>
      </c>
      <c r="C12" s="150" t="s">
        <v>82</v>
      </c>
      <c r="D12" s="151" t="s">
        <v>27</v>
      </c>
      <c r="E12" s="152" t="s">
        <v>28</v>
      </c>
      <c r="F12" s="152" t="s">
        <v>83</v>
      </c>
      <c r="G12" s="97" t="s">
        <v>135</v>
      </c>
      <c r="H12" s="98" t="s">
        <v>136</v>
      </c>
      <c r="I12" s="99" t="s">
        <v>40</v>
      </c>
      <c r="J12" s="100" t="s">
        <v>22</v>
      </c>
      <c r="K12" s="100">
        <v>10</v>
      </c>
      <c r="L12" s="101">
        <v>1</v>
      </c>
      <c r="M12" s="101">
        <f t="shared" si="0"/>
        <v>5</v>
      </c>
      <c r="N12" s="153" t="s">
        <v>16</v>
      </c>
      <c r="O12" s="102">
        <v>6.0600000000000001E-2</v>
      </c>
      <c r="P12" s="103">
        <f t="shared" si="1"/>
        <v>0.60599999999999998</v>
      </c>
      <c r="Q12" s="41"/>
      <c r="R12" s="48"/>
      <c r="S12" s="11"/>
    </row>
    <row r="13" spans="1:19" ht="26.25" thickBot="1">
      <c r="A13" s="6">
        <v>11</v>
      </c>
      <c r="B13" s="34" t="s">
        <v>32</v>
      </c>
      <c r="C13" s="154" t="s">
        <v>84</v>
      </c>
      <c r="D13" s="155" t="s">
        <v>33</v>
      </c>
      <c r="E13" s="155" t="s">
        <v>28</v>
      </c>
      <c r="F13" s="155" t="s">
        <v>85</v>
      </c>
      <c r="G13" s="104" t="s">
        <v>137</v>
      </c>
      <c r="H13" s="105" t="s">
        <v>138</v>
      </c>
      <c r="I13" s="106" t="s">
        <v>40</v>
      </c>
      <c r="J13" s="107" t="s">
        <v>22</v>
      </c>
      <c r="K13" s="107">
        <v>7</v>
      </c>
      <c r="L13" s="108">
        <v>1</v>
      </c>
      <c r="M13" s="108">
        <f t="shared" si="0"/>
        <v>5</v>
      </c>
      <c r="N13" s="156" t="s">
        <v>16</v>
      </c>
      <c r="O13" s="109">
        <v>0.25650000000000001</v>
      </c>
      <c r="P13" s="110">
        <f t="shared" si="1"/>
        <v>1.7955000000000001</v>
      </c>
      <c r="Q13" s="18"/>
      <c r="R13" s="51"/>
      <c r="S13" s="11"/>
    </row>
    <row r="14" spans="1:19" ht="26.25" thickBot="1">
      <c r="A14" s="6">
        <v>12</v>
      </c>
      <c r="B14" s="36"/>
      <c r="C14" s="157" t="s">
        <v>86</v>
      </c>
      <c r="D14" s="158" t="s">
        <v>87</v>
      </c>
      <c r="E14" s="159" t="s">
        <v>28</v>
      </c>
      <c r="F14" s="159" t="s">
        <v>88</v>
      </c>
      <c r="G14" s="111" t="s">
        <v>139</v>
      </c>
      <c r="H14" s="112" t="s">
        <v>140</v>
      </c>
      <c r="I14" s="113" t="s">
        <v>40</v>
      </c>
      <c r="J14" s="114" t="s">
        <v>22</v>
      </c>
      <c r="K14" s="114">
        <v>7</v>
      </c>
      <c r="L14" s="115">
        <v>2</v>
      </c>
      <c r="M14" s="101">
        <f t="shared" si="0"/>
        <v>10</v>
      </c>
      <c r="N14" s="160" t="s">
        <v>16</v>
      </c>
      <c r="O14" s="116">
        <v>0.1215</v>
      </c>
      <c r="P14" s="103">
        <f t="shared" si="1"/>
        <v>0.85050000000000003</v>
      </c>
      <c r="Q14" s="16"/>
      <c r="R14" s="17"/>
      <c r="S14" s="11"/>
    </row>
    <row r="15" spans="1:19" ht="15.75" thickBot="1">
      <c r="A15" s="6">
        <v>13</v>
      </c>
      <c r="B15" s="34" t="s">
        <v>23</v>
      </c>
      <c r="C15" s="154" t="s">
        <v>89</v>
      </c>
      <c r="D15" s="155" t="s">
        <v>90</v>
      </c>
      <c r="E15" s="130" t="s">
        <v>24</v>
      </c>
      <c r="F15" s="161" t="s">
        <v>91</v>
      </c>
      <c r="G15" s="68" t="s">
        <v>143</v>
      </c>
      <c r="H15" s="69" t="s">
        <v>142</v>
      </c>
      <c r="I15" s="117" t="s">
        <v>141</v>
      </c>
      <c r="J15" s="130" t="s">
        <v>95</v>
      </c>
      <c r="K15" s="118">
        <v>100</v>
      </c>
      <c r="L15" s="118">
        <v>2</v>
      </c>
      <c r="M15" s="72">
        <f t="shared" si="0"/>
        <v>10</v>
      </c>
      <c r="N15" s="162" t="s">
        <v>16</v>
      </c>
      <c r="O15" s="73">
        <v>1E-3</v>
      </c>
      <c r="P15" s="74">
        <f t="shared" si="1"/>
        <v>0.1</v>
      </c>
      <c r="Q15" s="12"/>
      <c r="R15" s="13"/>
      <c r="S15" s="11"/>
    </row>
    <row r="16" spans="1:19" ht="15.75" thickBot="1">
      <c r="A16" s="6">
        <v>14</v>
      </c>
      <c r="B16" s="36"/>
      <c r="C16" s="157" t="s">
        <v>92</v>
      </c>
      <c r="D16" s="158" t="s">
        <v>93</v>
      </c>
      <c r="E16" s="159" t="s">
        <v>24</v>
      </c>
      <c r="F16" s="159" t="s">
        <v>94</v>
      </c>
      <c r="G16" s="111" t="s">
        <v>127</v>
      </c>
      <c r="H16" s="112" t="s">
        <v>144</v>
      </c>
      <c r="I16" s="113" t="s">
        <v>40</v>
      </c>
      <c r="J16" s="159" t="s">
        <v>25</v>
      </c>
      <c r="K16" s="119">
        <v>100</v>
      </c>
      <c r="L16" s="119">
        <v>1</v>
      </c>
      <c r="M16" s="101">
        <f t="shared" si="0"/>
        <v>5</v>
      </c>
      <c r="N16" s="163" t="s">
        <v>16</v>
      </c>
      <c r="O16" s="116">
        <v>1.4E-3</v>
      </c>
      <c r="P16" s="103">
        <f t="shared" si="1"/>
        <v>0.13999999999999999</v>
      </c>
      <c r="Q16" s="16"/>
      <c r="R16" s="17"/>
      <c r="S16" s="11"/>
    </row>
    <row r="17" spans="1:19" ht="15.75" thickBot="1">
      <c r="A17" s="6">
        <v>15</v>
      </c>
      <c r="B17" s="34" t="s">
        <v>115</v>
      </c>
      <c r="C17" s="154" t="s">
        <v>96</v>
      </c>
      <c r="D17" s="155" t="s">
        <v>97</v>
      </c>
      <c r="E17" s="130" t="s">
        <v>98</v>
      </c>
      <c r="F17" s="130" t="s">
        <v>99</v>
      </c>
      <c r="G17" s="68" t="s">
        <v>31</v>
      </c>
      <c r="H17" s="69" t="s">
        <v>145</v>
      </c>
      <c r="I17" s="70" t="s">
        <v>40</v>
      </c>
      <c r="J17" s="71" t="s">
        <v>22</v>
      </c>
      <c r="K17" s="71">
        <v>11</v>
      </c>
      <c r="L17" s="132">
        <v>2</v>
      </c>
      <c r="M17" s="72">
        <f t="shared" si="0"/>
        <v>10</v>
      </c>
      <c r="N17" s="164" t="s">
        <v>16</v>
      </c>
      <c r="O17" s="73">
        <v>0.44729999999999998</v>
      </c>
      <c r="P17" s="74">
        <f t="shared" si="1"/>
        <v>4.9203000000000001</v>
      </c>
      <c r="Q17" s="12"/>
      <c r="R17" s="13"/>
      <c r="S17" s="11"/>
    </row>
    <row r="18" spans="1:19" ht="26.25" thickBot="1">
      <c r="A18" s="6">
        <v>16</v>
      </c>
      <c r="B18" s="35"/>
      <c r="C18" s="165" t="s">
        <v>100</v>
      </c>
      <c r="D18" s="139" t="s">
        <v>30</v>
      </c>
      <c r="E18" s="135" t="s">
        <v>101</v>
      </c>
      <c r="F18" s="135" t="s">
        <v>102</v>
      </c>
      <c r="G18" s="77" t="s">
        <v>146</v>
      </c>
      <c r="H18" s="77" t="s">
        <v>147</v>
      </c>
      <c r="I18" s="77" t="s">
        <v>40</v>
      </c>
      <c r="J18" s="78" t="s">
        <v>22</v>
      </c>
      <c r="K18" s="77">
        <v>6</v>
      </c>
      <c r="L18" s="137">
        <v>1</v>
      </c>
      <c r="M18" s="79">
        <f t="shared" si="0"/>
        <v>5</v>
      </c>
      <c r="N18" s="140" t="s">
        <v>16</v>
      </c>
      <c r="O18" s="80">
        <v>0.53200000000000003</v>
      </c>
      <c r="P18" s="81">
        <f t="shared" si="1"/>
        <v>3.1920000000000002</v>
      </c>
      <c r="Q18" s="14"/>
      <c r="R18" s="15"/>
      <c r="S18" s="11"/>
    </row>
    <row r="19" spans="1:19" ht="15.75" thickBot="1">
      <c r="A19" s="6">
        <v>17</v>
      </c>
      <c r="B19" s="35"/>
      <c r="C19" s="165" t="s">
        <v>103</v>
      </c>
      <c r="D19" s="139" t="s">
        <v>29</v>
      </c>
      <c r="E19" s="135" t="s">
        <v>104</v>
      </c>
      <c r="F19" s="135" t="s">
        <v>105</v>
      </c>
      <c r="G19" s="82" t="s">
        <v>31</v>
      </c>
      <c r="H19" s="82" t="s">
        <v>22</v>
      </c>
      <c r="I19" s="78" t="s">
        <v>40</v>
      </c>
      <c r="J19" s="78" t="s">
        <v>22</v>
      </c>
      <c r="K19" s="82">
        <v>6</v>
      </c>
      <c r="L19" s="137">
        <v>1</v>
      </c>
      <c r="M19" s="79">
        <f t="shared" si="0"/>
        <v>5</v>
      </c>
      <c r="N19" s="166" t="s">
        <v>148</v>
      </c>
      <c r="O19" s="120">
        <v>8</v>
      </c>
      <c r="P19" s="81">
        <f t="shared" si="1"/>
        <v>48</v>
      </c>
      <c r="Q19" s="47" t="s">
        <v>149</v>
      </c>
      <c r="R19" s="44"/>
      <c r="S19" s="11"/>
    </row>
    <row r="20" spans="1:19" ht="15.75" thickBot="1">
      <c r="A20" s="6">
        <v>18</v>
      </c>
      <c r="B20" s="35"/>
      <c r="C20" s="175" t="s">
        <v>106</v>
      </c>
      <c r="D20" s="176" t="s">
        <v>107</v>
      </c>
      <c r="E20" s="177" t="s">
        <v>150</v>
      </c>
      <c r="F20" s="177" t="s">
        <v>108</v>
      </c>
      <c r="G20" s="178" t="s">
        <v>31</v>
      </c>
      <c r="H20" s="178" t="s">
        <v>22</v>
      </c>
      <c r="I20" s="177" t="s">
        <v>40</v>
      </c>
      <c r="J20" s="177" t="s">
        <v>22</v>
      </c>
      <c r="K20" s="178"/>
      <c r="L20" s="179">
        <v>2</v>
      </c>
      <c r="M20" s="180">
        <f t="shared" si="0"/>
        <v>10</v>
      </c>
      <c r="N20" s="181"/>
      <c r="O20" s="182"/>
      <c r="P20" s="183">
        <f t="shared" si="1"/>
        <v>0</v>
      </c>
      <c r="Q20" s="184"/>
      <c r="R20" s="185"/>
      <c r="S20" s="11"/>
    </row>
    <row r="21" spans="1:19" ht="15.75" thickBot="1">
      <c r="A21" s="6">
        <v>19</v>
      </c>
      <c r="B21" s="35"/>
      <c r="C21" s="165" t="s">
        <v>109</v>
      </c>
      <c r="D21" s="139" t="s">
        <v>110</v>
      </c>
      <c r="E21" s="135" t="s">
        <v>28</v>
      </c>
      <c r="F21" s="135" t="s">
        <v>111</v>
      </c>
      <c r="G21" s="82" t="s">
        <v>151</v>
      </c>
      <c r="H21" s="82" t="s">
        <v>152</v>
      </c>
      <c r="I21" s="78" t="s">
        <v>40</v>
      </c>
      <c r="J21" s="78" t="s">
        <v>22</v>
      </c>
      <c r="K21" s="82">
        <v>6</v>
      </c>
      <c r="L21" s="137">
        <v>1</v>
      </c>
      <c r="M21" s="79">
        <f t="shared" si="0"/>
        <v>5</v>
      </c>
      <c r="N21" s="166" t="s">
        <v>16</v>
      </c>
      <c r="O21" s="80">
        <v>4.1349999999999998</v>
      </c>
      <c r="P21" s="81">
        <f t="shared" si="1"/>
        <v>24.81</v>
      </c>
      <c r="Q21" s="22"/>
      <c r="R21" s="15"/>
      <c r="S21" s="11"/>
    </row>
    <row r="22" spans="1:19" ht="26.25" thickBot="1">
      <c r="A22" s="6">
        <v>20</v>
      </c>
      <c r="B22" s="36"/>
      <c r="C22" s="157" t="s">
        <v>112</v>
      </c>
      <c r="D22" s="158" t="s">
        <v>113</v>
      </c>
      <c r="E22" s="159" t="s">
        <v>153</v>
      </c>
      <c r="F22" s="159" t="s">
        <v>114</v>
      </c>
      <c r="G22" s="114" t="s">
        <v>154</v>
      </c>
      <c r="H22" s="114" t="s">
        <v>155</v>
      </c>
      <c r="I22" s="114" t="s">
        <v>40</v>
      </c>
      <c r="J22" s="114" t="s">
        <v>22</v>
      </c>
      <c r="K22" s="111">
        <v>10</v>
      </c>
      <c r="L22" s="167">
        <v>1</v>
      </c>
      <c r="M22" s="101">
        <f t="shared" si="0"/>
        <v>5</v>
      </c>
      <c r="N22" s="168" t="s">
        <v>16</v>
      </c>
      <c r="O22" s="116">
        <v>5.8799999999999998E-2</v>
      </c>
      <c r="P22" s="103">
        <f t="shared" si="1"/>
        <v>0.58799999999999997</v>
      </c>
      <c r="Q22" s="23"/>
      <c r="R22" s="17"/>
      <c r="S22" s="11"/>
    </row>
    <row r="23" spans="1:19" ht="15.75" thickBot="1">
      <c r="A23" s="6">
        <v>21</v>
      </c>
      <c r="B23" s="34" t="s">
        <v>123</v>
      </c>
      <c r="C23" s="154" t="s">
        <v>116</v>
      </c>
      <c r="D23" s="155" t="s">
        <v>42</v>
      </c>
      <c r="E23" s="130" t="s">
        <v>28</v>
      </c>
      <c r="F23" s="161" t="s">
        <v>117</v>
      </c>
      <c r="G23" s="72" t="s">
        <v>156</v>
      </c>
      <c r="H23" s="72" t="s">
        <v>157</v>
      </c>
      <c r="I23" s="71" t="s">
        <v>40</v>
      </c>
      <c r="J23" s="71" t="s">
        <v>22</v>
      </c>
      <c r="K23" s="121">
        <v>50</v>
      </c>
      <c r="L23" s="122">
        <v>1</v>
      </c>
      <c r="M23" s="72">
        <f t="shared" si="0"/>
        <v>5</v>
      </c>
      <c r="N23" s="169" t="s">
        <v>16</v>
      </c>
      <c r="O23" s="73">
        <v>1.5699999999999999E-2</v>
      </c>
      <c r="P23" s="74">
        <f t="shared" si="1"/>
        <v>0.78499999999999992</v>
      </c>
      <c r="Q23" s="24"/>
      <c r="R23" s="13"/>
      <c r="S23" s="11"/>
    </row>
    <row r="24" spans="1:19" ht="26.25" thickBot="1">
      <c r="A24" s="6">
        <v>22</v>
      </c>
      <c r="B24" s="35"/>
      <c r="C24" s="165" t="s">
        <v>118</v>
      </c>
      <c r="D24" s="139" t="s">
        <v>43</v>
      </c>
      <c r="E24" s="135" t="s">
        <v>28</v>
      </c>
      <c r="F24" s="135" t="s">
        <v>119</v>
      </c>
      <c r="G24" s="78" t="s">
        <v>160</v>
      </c>
      <c r="H24" s="78" t="s">
        <v>161</v>
      </c>
      <c r="I24" s="78" t="s">
        <v>40</v>
      </c>
      <c r="J24" s="78" t="s">
        <v>22</v>
      </c>
      <c r="K24" s="78">
        <v>6</v>
      </c>
      <c r="L24" s="123">
        <v>1</v>
      </c>
      <c r="M24" s="79">
        <f t="shared" si="0"/>
        <v>5</v>
      </c>
      <c r="N24" s="166"/>
      <c r="O24" s="120"/>
      <c r="P24" s="81">
        <f t="shared" si="1"/>
        <v>0</v>
      </c>
      <c r="Q24" s="38"/>
      <c r="R24" s="15"/>
      <c r="S24" s="11"/>
    </row>
    <row r="25" spans="1:19" ht="15.75" thickBot="1">
      <c r="A25" s="6">
        <v>23</v>
      </c>
      <c r="B25" s="35"/>
      <c r="C25" s="165" t="s">
        <v>120</v>
      </c>
      <c r="D25" s="139" t="s">
        <v>35</v>
      </c>
      <c r="E25" s="135" t="s">
        <v>28</v>
      </c>
      <c r="F25" s="170" t="s">
        <v>121</v>
      </c>
      <c r="G25" s="78" t="s">
        <v>158</v>
      </c>
      <c r="H25" s="78" t="s">
        <v>159</v>
      </c>
      <c r="I25" s="78" t="s">
        <v>166</v>
      </c>
      <c r="J25" s="78" t="s">
        <v>22</v>
      </c>
      <c r="K25" s="78">
        <v>50</v>
      </c>
      <c r="L25" s="123">
        <v>1</v>
      </c>
      <c r="M25" s="79">
        <f t="shared" si="0"/>
        <v>5</v>
      </c>
      <c r="N25" s="166" t="s">
        <v>16</v>
      </c>
      <c r="O25" s="80">
        <v>1.26E-2</v>
      </c>
      <c r="P25" s="81">
        <f t="shared" si="1"/>
        <v>0.63</v>
      </c>
      <c r="Q25" s="39"/>
      <c r="R25" s="15"/>
      <c r="S25" s="11"/>
    </row>
    <row r="26" spans="1:19" ht="90" thickBot="1">
      <c r="A26" s="19">
        <v>24</v>
      </c>
      <c r="B26" s="35"/>
      <c r="C26" s="171" t="s">
        <v>36</v>
      </c>
      <c r="D26" s="172" t="s">
        <v>122</v>
      </c>
      <c r="E26" s="173" t="s">
        <v>37</v>
      </c>
      <c r="F26" s="173" t="s">
        <v>37</v>
      </c>
      <c r="G26" s="124" t="s">
        <v>162</v>
      </c>
      <c r="H26" s="124" t="s">
        <v>162</v>
      </c>
      <c r="I26" s="125" t="s">
        <v>41</v>
      </c>
      <c r="J26" s="125" t="s">
        <v>41</v>
      </c>
      <c r="K26" s="126" t="s">
        <v>162</v>
      </c>
      <c r="L26" s="127">
        <v>42</v>
      </c>
      <c r="M26" s="128">
        <f t="shared" si="0"/>
        <v>210</v>
      </c>
      <c r="N26" s="124" t="s">
        <v>162</v>
      </c>
      <c r="O26" s="125" t="s">
        <v>41</v>
      </c>
      <c r="P26" s="126" t="s">
        <v>162</v>
      </c>
      <c r="Q26" s="52" t="s">
        <v>167</v>
      </c>
      <c r="R26" s="53"/>
      <c r="S26" s="11"/>
    </row>
    <row r="27" spans="1:19" ht="15.75" thickBot="1">
      <c r="A27" s="19">
        <v>25</v>
      </c>
      <c r="B27" s="174" t="s">
        <v>169</v>
      </c>
      <c r="C27" s="186" t="s">
        <v>170</v>
      </c>
      <c r="D27" s="193" t="s">
        <v>41</v>
      </c>
      <c r="E27" s="193" t="s">
        <v>41</v>
      </c>
      <c r="F27" s="187" t="s">
        <v>170</v>
      </c>
      <c r="G27" s="193" t="s">
        <v>41</v>
      </c>
      <c r="H27" s="193" t="s">
        <v>41</v>
      </c>
      <c r="I27" s="193" t="s">
        <v>41</v>
      </c>
      <c r="J27" s="193" t="s">
        <v>41</v>
      </c>
      <c r="K27" s="193" t="s">
        <v>41</v>
      </c>
      <c r="L27" s="190">
        <v>1</v>
      </c>
      <c r="M27" s="190">
        <f t="shared" si="0"/>
        <v>5</v>
      </c>
      <c r="N27" s="188"/>
      <c r="O27" s="189"/>
      <c r="P27" s="189"/>
      <c r="Q27" s="191"/>
      <c r="R27" s="192"/>
      <c r="S27" s="11"/>
    </row>
    <row r="28" spans="1:19" ht="15.75">
      <c r="A28" s="1"/>
      <c r="C28" s="29"/>
      <c r="D28" s="8"/>
      <c r="E28" s="7"/>
      <c r="G28" s="7"/>
      <c r="H28" s="7"/>
      <c r="I28" s="7"/>
      <c r="J28" s="7"/>
      <c r="K28" s="7"/>
      <c r="L28" s="61" t="s">
        <v>38</v>
      </c>
      <c r="M28" s="62"/>
      <c r="N28" s="62"/>
      <c r="O28" s="63"/>
      <c r="P28" s="64">
        <f>SUM(P3:P26)</f>
        <v>365.11730000000006</v>
      </c>
      <c r="Q28" s="7"/>
      <c r="R28" s="7"/>
      <c r="S28" s="11"/>
    </row>
    <row r="29" spans="1:19" ht="16.5" thickBot="1">
      <c r="A29" s="1"/>
      <c r="C29" s="29"/>
      <c r="E29" s="33"/>
      <c r="F29" s="33"/>
      <c r="G29" s="7"/>
      <c r="H29" s="7"/>
      <c r="I29" s="7"/>
      <c r="J29" s="7"/>
      <c r="K29" s="7"/>
      <c r="L29" s="65" t="s">
        <v>39</v>
      </c>
      <c r="M29" s="66"/>
      <c r="N29" s="66"/>
      <c r="O29" s="58"/>
      <c r="P29" s="67">
        <f>P28/5</f>
        <v>73.023460000000014</v>
      </c>
      <c r="Q29" s="7"/>
      <c r="R29" s="7"/>
      <c r="S29" s="11"/>
    </row>
    <row r="30" spans="1:19" ht="15.75">
      <c r="A30" s="1"/>
      <c r="C30" s="29"/>
      <c r="E30" s="33"/>
      <c r="F30" s="33"/>
      <c r="G30" s="7"/>
      <c r="H30" s="7"/>
      <c r="I30" s="7"/>
      <c r="J30" s="7"/>
      <c r="K30" s="7"/>
      <c r="L30" s="45"/>
      <c r="M30" s="54" t="s">
        <v>165</v>
      </c>
      <c r="N30" s="25"/>
      <c r="O30" s="46"/>
      <c r="P30" s="60"/>
      <c r="Q30" s="7"/>
      <c r="R30" s="7"/>
      <c r="S30" s="11"/>
    </row>
    <row r="31" spans="1:19" ht="15.75">
      <c r="A31" s="1"/>
      <c r="D31" s="32"/>
      <c r="E31" s="33"/>
      <c r="M31" s="54" t="s">
        <v>44</v>
      </c>
      <c r="N31" s="25"/>
      <c r="O31" s="21"/>
      <c r="P31" s="55">
        <v>213.77</v>
      </c>
      <c r="R31" s="11"/>
      <c r="S31" s="11"/>
    </row>
    <row r="32" spans="1:19" ht="16.5" thickBot="1">
      <c r="A32" s="1"/>
      <c r="D32" s="33"/>
      <c r="M32" s="56" t="s">
        <v>45</v>
      </c>
      <c r="N32" s="57"/>
      <c r="O32" s="58"/>
      <c r="P32" s="59">
        <f>P31+P28</f>
        <v>578.8873000000001</v>
      </c>
      <c r="R32" s="11"/>
      <c r="S32" s="11"/>
    </row>
    <row r="33" spans="1:19">
      <c r="A33" s="1"/>
      <c r="C33" s="30"/>
      <c r="D33" s="33"/>
      <c r="M33" s="20"/>
      <c r="R33" s="11"/>
      <c r="S33" s="11"/>
    </row>
    <row r="34" spans="1:19">
      <c r="A34" s="1"/>
      <c r="R34" s="11"/>
      <c r="S34" s="11"/>
    </row>
    <row r="35" spans="1:19">
      <c r="A35" s="1"/>
      <c r="R35" s="11"/>
      <c r="S35" s="11"/>
    </row>
    <row r="36" spans="1:19">
      <c r="A36" s="1"/>
      <c r="R36" s="11"/>
      <c r="S36" s="11"/>
    </row>
    <row r="37" spans="1:19">
      <c r="A37" s="1"/>
      <c r="R37" s="11"/>
      <c r="S37" s="11"/>
    </row>
    <row r="38" spans="1:19" ht="15.75" customHeight="1">
      <c r="A38" s="1"/>
      <c r="R38" s="11"/>
      <c r="S38" s="11"/>
    </row>
    <row r="39" spans="1:19">
      <c r="A39" s="1"/>
      <c r="R39" s="11"/>
      <c r="S39" s="11"/>
    </row>
    <row r="40" spans="1:19">
      <c r="A40" s="1"/>
      <c r="R40" s="11"/>
      <c r="S40" s="11"/>
    </row>
    <row r="41" spans="1:19">
      <c r="A41" s="1"/>
      <c r="R41" s="11"/>
      <c r="S41" s="11"/>
    </row>
    <row r="42" spans="1:19">
      <c r="A42" s="1"/>
      <c r="R42" s="11"/>
      <c r="S42" s="11"/>
    </row>
    <row r="43" spans="1:19">
      <c r="A43" s="1"/>
      <c r="R43" s="11"/>
      <c r="S43" s="11"/>
    </row>
    <row r="44" spans="1:19">
      <c r="H44" s="9"/>
      <c r="Q44" s="10"/>
    </row>
    <row r="45" spans="1:19">
      <c r="H45" s="9"/>
      <c r="Q45" s="10"/>
    </row>
  </sheetData>
  <mergeCells count="11">
    <mergeCell ref="M30:N30"/>
    <mergeCell ref="M31:N31"/>
    <mergeCell ref="M32:N32"/>
    <mergeCell ref="A1:R1"/>
    <mergeCell ref="L28:N28"/>
    <mergeCell ref="L29:N29"/>
    <mergeCell ref="B3:B10"/>
    <mergeCell ref="B13:B14"/>
    <mergeCell ref="B15:B16"/>
    <mergeCell ref="B17:B22"/>
    <mergeCell ref="B23:B26"/>
  </mergeCells>
  <phoneticPr fontId="16" type="noConversion"/>
  <conditionalFormatting sqref="Q24">
    <cfRule type="dataBar" priority="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{A7177EAA-5F93-4441-AADE-07DBCA551305}</x14:id>
        </ext>
      </extLst>
    </cfRule>
  </conditionalFormatting>
  <conditionalFormatting sqref="L3:L7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{73D72061-44BE-43BF-B86A-016273A3FADD}</x14:id>
        </ext>
      </extLst>
    </cfRule>
  </conditionalFormatting>
  <conditionalFormatting sqref="N9:N10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{431ABF7B-01D1-4562-B5F9-4F47436B3001}</x14:id>
        </ext>
      </extLst>
    </cfRule>
  </conditionalFormatting>
  <conditionalFormatting sqref="P29:P30">
    <cfRule type="dataBar" priority="2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{A8943134-F8F0-4DF3-A9A0-86442E65814B}</x14:id>
        </ext>
      </extLst>
    </cfRule>
  </conditionalFormatting>
  <conditionalFormatting sqref="L17:M27 L8:L14 M3:M27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:M27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27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{70CE0387-EDB2-443C-842F-1D5EE6E70AF7}</x14:id>
        </ext>
      </extLst>
    </cfRule>
  </conditionalFormatting>
  <conditionalFormatting sqref="K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{193AFC57-9059-4DAB-9E2A-67F7DD9723ED}</x14:id>
        </ext>
      </extLst>
    </cfRule>
  </conditionalFormatting>
  <hyperlinks>
    <hyperlink ref="N3" r:id="rId1" xr:uid="{77E7F02B-CC4A-45E7-B730-3717F029D629}"/>
    <hyperlink ref="N4" r:id="rId2" xr:uid="{422ACB32-99A4-4373-9BBC-0F8302D669E9}"/>
    <hyperlink ref="N5" r:id="rId3" xr:uid="{1D3C339F-D2BF-414A-BD64-13F776D76A9F}"/>
    <hyperlink ref="N6" r:id="rId4" xr:uid="{01BBFB8E-A26B-48C7-AB0F-DF9F65C47B93}"/>
    <hyperlink ref="N7" r:id="rId5" xr:uid="{83C85DDA-7FBA-4A9B-8C90-61DA15EF09A1}"/>
    <hyperlink ref="N8" r:id="rId6" xr:uid="{F5D2937B-2705-425B-A920-F69EE337A9AA}"/>
    <hyperlink ref="N9" r:id="rId7" xr:uid="{23650E7E-1F91-465B-A508-B3E81A5A29DB}"/>
    <hyperlink ref="N10" r:id="rId8" xr:uid="{A3FA0792-9C1C-4B11-8EC7-D8950B40778A}"/>
    <hyperlink ref="N12" r:id="rId9" xr:uid="{9306F7E1-9FA0-45C1-9226-A5EFFE620B9F}"/>
    <hyperlink ref="N13" r:id="rId10" xr:uid="{6C2F24FA-F4C6-4765-90C1-BBDF944038A7}"/>
    <hyperlink ref="N14" r:id="rId11" xr:uid="{834B4123-1D60-4B34-B015-5E7BBC8F47AF}"/>
    <hyperlink ref="N15" r:id="rId12" xr:uid="{1D1A071F-2A3D-4FA1-937C-5E9315A2DAC9}"/>
    <hyperlink ref="N16" r:id="rId13" xr:uid="{1ECC2B27-3B6B-4070-A52B-CBF10AA116AF}"/>
    <hyperlink ref="N17" r:id="rId14" xr:uid="{BFDF2136-290A-40AE-829A-CE2FE24D8034}"/>
    <hyperlink ref="N18" r:id="rId15" xr:uid="{E71028CE-6136-4648-ABFC-ABDBCFA60DB5}"/>
    <hyperlink ref="N19" r:id="rId16" xr:uid="{600C5A90-1D13-491E-82D2-49A3F9B676E0}"/>
    <hyperlink ref="N21" r:id="rId17" xr:uid="{F5B5F1A9-E737-48E7-A459-388501647F5A}"/>
    <hyperlink ref="N22" r:id="rId18" xr:uid="{8E22EBA9-5C52-408B-A65B-4F115F1CD0F7}"/>
    <hyperlink ref="N23" r:id="rId19" xr:uid="{0A7E773D-5A3D-486C-84CA-8D29060909A3}"/>
    <hyperlink ref="N25" r:id="rId20" xr:uid="{79B90123-86F4-4C7F-BE0B-E5B7C590F601}"/>
    <hyperlink ref="N11" r:id="rId21" xr:uid="{D571A1A4-A3B8-476C-81AA-A10E0576C945}"/>
  </hyperlinks>
  <pageMargins left="0.75" right="0.75" top="1" bottom="1" header="0.5" footer="0.5"/>
  <pageSetup orientation="portrait" r:id="rId2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177EAA-5F93-4441-AADE-07DBCA551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Q24</xm:sqref>
        </x14:conditionalFormatting>
        <x14:conditionalFormatting xmlns:xm="http://schemas.microsoft.com/office/excel/2006/main">
          <x14:cfRule type="dataBar" id="{73D72061-44BE-43BF-B86A-016273A3FA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N3:N5</xm:sqref>
        </x14:conditionalFormatting>
        <x14:conditionalFormatting xmlns:xm="http://schemas.microsoft.com/office/excel/2006/main">
          <x14:cfRule type="dataBar" id="{431ABF7B-01D1-4562-B5F9-4F47436B3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N9:N10</xm:sqref>
        </x14:conditionalFormatting>
        <x14:conditionalFormatting xmlns:xm="http://schemas.microsoft.com/office/excel/2006/main">
          <x14:cfRule type="dataBar" id="{A8943134-F8F0-4DF3-A9A0-86442E65814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P29:P30</xm:sqref>
        </x14:conditionalFormatting>
        <x14:conditionalFormatting xmlns:xm="http://schemas.microsoft.com/office/excel/2006/main">
          <x14:cfRule type="dataBar" id="{70CE0387-EDB2-443C-842F-1D5EE6E70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P3:P27</xm:sqref>
        </x14:conditionalFormatting>
        <x14:conditionalFormatting xmlns:xm="http://schemas.microsoft.com/office/excel/2006/main">
          <x14:cfRule type="dataBar" id="{193AFC57-9059-4DAB-9E2A-67F7DD972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texon</dc:creator>
  <cp:lastModifiedBy>HP</cp:lastModifiedBy>
  <dcterms:created xsi:type="dcterms:W3CDTF">2021-10-16T12:34:00Z</dcterms:created>
  <dcterms:modified xsi:type="dcterms:W3CDTF">2022-04-05T08:21:22Z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6B883EB8517F45A9B5A947128B6C1862</vt:lpwstr>
  </property>
  <property fmtid="{D5CDD505-2E9C-101B-9397-08002B2CF9AE}" pid="3" name="KSOProductBuildVer">
    <vt:lpwstr>1033-11.2.0.10323</vt:lpwstr>
  </property>
</Properties>
</file>