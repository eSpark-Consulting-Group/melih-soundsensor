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elih-SoundSensor\Deliverables\BOM\"/>
    </mc:Choice>
  </mc:AlternateContent>
  <xr:revisionPtr revIDLastSave="0" documentId="13_ncr:1_{DB496208-7E25-4AF8-9477-EF5B3273567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0 Boards" sheetId="1" r:id="rId1"/>
    <sheet name="1000 Boards" sheetId="2" r:id="rId2"/>
    <sheet name="5000 Boards" sheetId="3" r:id="rId3"/>
  </sheets>
  <calcPr calcId="191029"/>
</workbook>
</file>

<file path=xl/calcChain.xml><?xml version="1.0" encoding="utf-8"?>
<calcChain xmlns="http://schemas.openxmlformats.org/spreadsheetml/2006/main">
  <c r="M11" i="3" l="1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10" i="3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10" i="2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10" i="1"/>
  <c r="Q39" i="3"/>
  <c r="B39" i="3"/>
  <c r="Q38" i="3"/>
  <c r="B38" i="3"/>
  <c r="Q37" i="3"/>
  <c r="B37" i="3"/>
  <c r="Q36" i="3"/>
  <c r="B36" i="3"/>
  <c r="Q35" i="3"/>
  <c r="B35" i="3"/>
  <c r="Q34" i="3"/>
  <c r="B34" i="3"/>
  <c r="Q33" i="3"/>
  <c r="B33" i="3"/>
  <c r="Q32" i="3"/>
  <c r="B32" i="3"/>
  <c r="B31" i="3"/>
  <c r="Q30" i="3"/>
  <c r="B30" i="3"/>
  <c r="Q29" i="3"/>
  <c r="B29" i="3"/>
  <c r="Q28" i="3"/>
  <c r="B28" i="3"/>
  <c r="Q27" i="3"/>
  <c r="B27" i="3"/>
  <c r="Q26" i="3"/>
  <c r="B26" i="3"/>
  <c r="Q25" i="3"/>
  <c r="B25" i="3"/>
  <c r="Q24" i="3"/>
  <c r="B24" i="3"/>
  <c r="Q23" i="3"/>
  <c r="B23" i="3"/>
  <c r="Q22" i="3"/>
  <c r="B22" i="3"/>
  <c r="Q21" i="3"/>
  <c r="B21" i="3"/>
  <c r="Q20" i="3"/>
  <c r="B20" i="3"/>
  <c r="Q19" i="3"/>
  <c r="B19" i="3"/>
  <c r="Q18" i="3"/>
  <c r="B18" i="3"/>
  <c r="Q17" i="3"/>
  <c r="B17" i="3"/>
  <c r="Q16" i="3"/>
  <c r="B16" i="3"/>
  <c r="Q15" i="3"/>
  <c r="B15" i="3"/>
  <c r="Q14" i="3"/>
  <c r="B14" i="3"/>
  <c r="Q13" i="3"/>
  <c r="B13" i="3"/>
  <c r="Q12" i="3"/>
  <c r="B12" i="3"/>
  <c r="Q11" i="3"/>
  <c r="B11" i="3"/>
  <c r="Q10" i="3"/>
  <c r="B10" i="3"/>
  <c r="Q39" i="2"/>
  <c r="B39" i="2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2" i="1"/>
  <c r="Q33" i="1"/>
  <c r="Q34" i="1"/>
  <c r="Q35" i="1"/>
  <c r="Q36" i="1"/>
  <c r="Q37" i="1"/>
  <c r="Q38" i="1"/>
  <c r="Q39" i="1"/>
  <c r="Q10" i="1"/>
  <c r="Q40" i="3" l="1"/>
  <c r="Q41" i="3" s="1"/>
  <c r="Q40" i="1"/>
  <c r="Q41" i="1" s="1"/>
  <c r="Q40" i="2"/>
  <c r="Q41" i="2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<sst xmlns="http://schemas.openxmlformats.org/spreadsheetml/2006/main" count="1016" uniqueCount="219">
  <si>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</si>
  <si>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</si>
  <si>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</si>
  <si>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</si>
  <si>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</si>
  <si>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</si>
  <si>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</si>
  <si>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</si>
  <si>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Microphone</t>
  </si>
  <si>
    <t>Module</t>
  </si>
  <si>
    <t>Designator</t>
  </si>
  <si>
    <t>C2</t>
  </si>
  <si>
    <t>C3, C5, C7, C9, C11, C13, C15, C17, C27, C29, C53, C55, C70, C72, C76, C78, C#2</t>
  </si>
  <si>
    <t>C4, C6, C8, C10, C12, C14, C16, C18</t>
  </si>
  <si>
    <t>C19, C21</t>
  </si>
  <si>
    <t>C20, C22, C31, C33, C54, C58, C59, C71, C77, C79, C81, C82</t>
  </si>
  <si>
    <t>C36</t>
  </si>
  <si>
    <t>C43, C44, C61, C62, C73, C74</t>
  </si>
  <si>
    <t>C45, C46, C47, C48, C49, C50, C51, C52, C60, C63, C64, C65, C66, C67, C68, C69</t>
  </si>
  <si>
    <t>C80</t>
  </si>
  <si>
    <t>C92, C93, C94, C95, C96, C97, C98, C99, C100, C101, C102, C103, C104, C105, C106, C107</t>
  </si>
  <si>
    <t>D1</t>
  </si>
  <si>
    <t>D2</t>
  </si>
  <si>
    <t>J1</t>
  </si>
  <si>
    <t>J2</t>
  </si>
  <si>
    <t>MK1, MK2, MK3, MK4, MK5, MK6, MK7, MK8</t>
  </si>
  <si>
    <t>P1</t>
  </si>
  <si>
    <t>R1, R2, R3</t>
  </si>
  <si>
    <t>R7, R8, R9</t>
  </si>
  <si>
    <t>R11, R12</t>
  </si>
  <si>
    <t>R17</t>
  </si>
  <si>
    <t>SB1, SB2, SB3, SB4, SB5, SB6, SB7, SB8, SB9, SB10, SB11, SB12, SB13, SB14, SB15, SB16, SB17, SB18, SB19, SB20, SB21, SB22, SB23, SB24, SB25, SB26, SB27, SB28, SB29, SB30, SB32, SB34, SB35, SB36, SB37, SB38, SB40, SB41, SB42, SB44, SB45, SB46, SB47, SB48, SB70, SB71, SB72, SB?</t>
  </si>
  <si>
    <t>SW1</t>
  </si>
  <si>
    <t>U1</t>
  </si>
  <si>
    <t>U3</t>
  </si>
  <si>
    <t>U4</t>
  </si>
  <si>
    <t>U5, U6</t>
  </si>
  <si>
    <t>U13</t>
  </si>
  <si>
    <t>X1</t>
  </si>
  <si>
    <t>X2, X3</t>
  </si>
  <si>
    <t>Description</t>
  </si>
  <si>
    <t>CAP CER 4.7UF 25V X5R 0603</t>
  </si>
  <si>
    <t>CAP CER 1UF 25V X5R 0603</t>
  </si>
  <si>
    <t>CAP CER 220PF 50V C0G/NPO 0402</t>
  </si>
  <si>
    <t>CAP TANT POLY 680UF 6.3V 2917</t>
  </si>
  <si>
    <t>CAP CER 0.1UF 100V X7R 0603</t>
  </si>
  <si>
    <t>CAP CER 0.22UF 50V X7S 0603</t>
  </si>
  <si>
    <t>CAP SMD 18pF ±5.0% 50V NPO 0603</t>
  </si>
  <si>
    <t>CAP CER 0.68uF 25V X7R 10% 0603 Paper T/R</t>
  </si>
  <si>
    <t>CAP CER 10UF 25V X5R 0603</t>
  </si>
  <si>
    <t>CAP CER 100PF 25V X7R 0603</t>
  </si>
  <si>
    <t>CAP CER 10UF 16V X7R 0805</t>
  </si>
  <si>
    <t>15V 19A 3.3V 4V Bidirectional SOD-323 ESD Protection Devices ROHS</t>
  </si>
  <si>
    <t>DIODE TVS SMD 5.5V 5A 90W</t>
  </si>
  <si>
    <t>05P MTA100 HDR ASSY (NARROW)</t>
  </si>
  <si>
    <t>USB 3.1 1 Surface Mount 6 Female -25℃~+85℃ Type-C SMD USB Connectors ROHS</t>
  </si>
  <si>
    <t>WINFREY MIC HI SNR/AOP BOT PORT</t>
  </si>
  <si>
    <t>CONN HEADER VERT 6POS 2.54MM</t>
  </si>
  <si>
    <t>RES SMD 100K OHM 5% 1/5W 0603</t>
  </si>
  <si>
    <t>RES SMD 0R, 1%, 0.1W, 0603</t>
  </si>
  <si>
    <t>RES SMD 5.1K OHM 5% 1/10W 0603</t>
  </si>
  <si>
    <t>RES SMD 10K OHM 1% 1/10W 0603</t>
  </si>
  <si>
    <t>Solder Bridge ON</t>
  </si>
  <si>
    <t>3mm 2mm Round Button 50mA Top3.65mm SPST 12V SMD Tactile Switches</t>
  </si>
  <si>
    <t>RF TXRX MOD WIFI PCB TRACE SMD</t>
  </si>
  <si>
    <t>Linear Voltage Regulator IC Positive Fixed 1 Output 3.3V 1A SOT-25</t>
  </si>
  <si>
    <t>IC ADC 24BIT SIGMA-DELTA 32TQFP</t>
  </si>
  <si>
    <t>IC ADC/AUDIO 24BIT 192K 30TSSOP</t>
  </si>
  <si>
    <t>2 NPN pre-biased (Dual) 150mW 100mA 50V SC-70-6(SOT-363) Digital Transistors ROHS</t>
  </si>
  <si>
    <t>8.192MHz SMD Crystal Resonator 12pF 150Ω ±10ppm ±30ppm -40℃~+85℃ SMD_3225_4P Crystals ROHS</t>
  </si>
  <si>
    <t>24.576MHz SMD Crystal Resonator 12pF 60Ω ±10ppm -40℃~+85℃ SMD3225-4P Crystals ROHS</t>
  </si>
  <si>
    <t>Footprint</t>
  </si>
  <si>
    <t>Cap 0603</t>
  </si>
  <si>
    <t>Cap 0402</t>
  </si>
  <si>
    <t>Case-D</t>
  </si>
  <si>
    <t>Cap-0805</t>
  </si>
  <si>
    <t>UDD32C03L01</t>
  </si>
  <si>
    <t>X1SON - 0.45 mm max height</t>
  </si>
  <si>
    <t>HDR1X5</t>
  </si>
  <si>
    <t>U262-061N-4BVC11</t>
  </si>
  <si>
    <t>SPM0687LR5H-1</t>
  </si>
  <si>
    <t>HDR1X6</t>
  </si>
  <si>
    <t>Res0603</t>
  </si>
  <si>
    <t>Solder Bridge</t>
  </si>
  <si>
    <t>TS-1185EC-C-D-B</t>
  </si>
  <si>
    <t>ESP32-WROVER-E-N8R8</t>
  </si>
  <si>
    <t>SOT-25</t>
  </si>
  <si>
    <t>32TQFP</t>
  </si>
  <si>
    <t>PCM1865DBTR</t>
  </si>
  <si>
    <t>UMH3N</t>
  </si>
  <si>
    <t>3TJ481920NYLBC</t>
  </si>
  <si>
    <t>S3224576121060</t>
  </si>
  <si>
    <t>Manufacturer Part Number</t>
  </si>
  <si>
    <t>CL10A475KA8NQNC</t>
  </si>
  <si>
    <t>CC0603KRX5R8BB105</t>
  </si>
  <si>
    <t>CC0402JRNPO9BN221</t>
  </si>
  <si>
    <t>6TPE680MI</t>
  </si>
  <si>
    <t>CC0603KRX7R0BB104</t>
  </si>
  <si>
    <t>UMK107C7224KAHTE</t>
  </si>
  <si>
    <t>CC0603JRNPO9BN180</t>
  </si>
  <si>
    <t>CC0603KRX7R8BB684</t>
  </si>
  <si>
    <t>CL10A106MA8NRNC</t>
  </si>
  <si>
    <t>CC0603KRX7R8BB101</t>
  </si>
  <si>
    <t>EMK212BB7106MG-T</t>
  </si>
  <si>
    <t>TPD1E10B06DPYR</t>
  </si>
  <si>
    <t>3-644456-5</t>
  </si>
  <si>
    <t>CRGH0603J100K</t>
  </si>
  <si>
    <t>RC0603FR-070RL</t>
  </si>
  <si>
    <t>RC0603JR-075K1L</t>
  </si>
  <si>
    <t>RC0603FR-0710KL</t>
  </si>
  <si>
    <t>XC6220B331MR-G</t>
  </si>
  <si>
    <t>ADS131M08IPBSR</t>
  </si>
  <si>
    <t>Manufacturer</t>
  </si>
  <si>
    <t>Samsung</t>
  </si>
  <si>
    <t>Yageo</t>
  </si>
  <si>
    <t>Panasonic</t>
  </si>
  <si>
    <t>Taiyo Yuden</t>
  </si>
  <si>
    <t>Brightking</t>
  </si>
  <si>
    <t>Texas Instruments</t>
  </si>
  <si>
    <t>TE Connectivity</t>
  </si>
  <si>
    <t>XKB</t>
  </si>
  <si>
    <t>Knowles</t>
  </si>
  <si>
    <t>Wurth Electronics</t>
  </si>
  <si>
    <t>Espressif Systems</t>
  </si>
  <si>
    <t>Torex</t>
  </si>
  <si>
    <t>Changjiang</t>
  </si>
  <si>
    <t>JYJE</t>
  </si>
  <si>
    <t>JGHC</t>
  </si>
  <si>
    <t>LCSC Part Number</t>
  </si>
  <si>
    <t>C79115</t>
  </si>
  <si>
    <t>C2973667</t>
  </si>
  <si>
    <t>4.7UF</t>
  </si>
  <si>
    <t>1uF</t>
  </si>
  <si>
    <t>220pF</t>
  </si>
  <si>
    <t>680uF</t>
  </si>
  <si>
    <t>0.1uF</t>
  </si>
  <si>
    <t>220nF</t>
  </si>
  <si>
    <t>18pF</t>
  </si>
  <si>
    <t>680nF</t>
  </si>
  <si>
    <t>10uF</t>
  </si>
  <si>
    <t>100pF</t>
  </si>
  <si>
    <t>100K</t>
  </si>
  <si>
    <t>0R</t>
  </si>
  <si>
    <t>5.1K</t>
  </si>
  <si>
    <t>10K</t>
  </si>
  <si>
    <t>Quantity</t>
  </si>
  <si>
    <t>C69335</t>
  </si>
  <si>
    <t>Value</t>
  </si>
  <si>
    <t>Links</t>
  </si>
  <si>
    <t>Remarks</t>
  </si>
  <si>
    <t>Reviewer Remarks</t>
  </si>
  <si>
    <t>Alternate Part Number</t>
  </si>
  <si>
    <t>LCSC</t>
  </si>
  <si>
    <t>C14664</t>
  </si>
  <si>
    <t>C107001</t>
  </si>
  <si>
    <t>C113803</t>
  </si>
  <si>
    <t>C386159</t>
  </si>
  <si>
    <t>C107040</t>
  </si>
  <si>
    <t>C2838708</t>
  </si>
  <si>
    <t>C56, C57, C75</t>
  </si>
  <si>
    <t>Bill of Materials for Project [Sound_Sensor]</t>
  </si>
  <si>
    <t>Sound_Sensor</t>
  </si>
  <si>
    <t>C519410</t>
  </si>
  <si>
    <t>Diode</t>
  </si>
  <si>
    <t>Header</t>
  </si>
  <si>
    <t>USB Connector</t>
  </si>
  <si>
    <t>Resistor</t>
  </si>
  <si>
    <t>Solder bridge</t>
  </si>
  <si>
    <t>Switch</t>
  </si>
  <si>
    <t>IC</t>
  </si>
  <si>
    <t>Crystal</t>
  </si>
  <si>
    <t>SOD-323</t>
  </si>
  <si>
    <t>C78439</t>
  </si>
  <si>
    <t>C2972450</t>
  </si>
  <si>
    <t>C318893</t>
  </si>
  <si>
    <t>Custom</t>
  </si>
  <si>
    <t>-</t>
  </si>
  <si>
    <t>C2898996</t>
  </si>
  <si>
    <t>C390772</t>
  </si>
  <si>
    <t>C86534</t>
  </si>
  <si>
    <t>C62892</t>
  </si>
  <si>
    <t>C73806</t>
  </si>
  <si>
    <t xml:space="preserve">RS-03K104JT
</t>
  </si>
  <si>
    <t>C100044</t>
  </si>
  <si>
    <t>C14677</t>
  </si>
  <si>
    <t>C2764612</t>
  </si>
  <si>
    <t>TSSOP-30</t>
  </si>
  <si>
    <t>8.192MHz</t>
  </si>
  <si>
    <t>24.576MHz</t>
  </si>
  <si>
    <t>Quantity (20 Boards)</t>
  </si>
  <si>
    <t>MOQ (20 Boards)</t>
  </si>
  <si>
    <t>Unit Cost (20 Boards)</t>
  </si>
  <si>
    <t>Total Cost (20 Boards)</t>
  </si>
  <si>
    <t>C96446</t>
  </si>
  <si>
    <t>C141287</t>
  </si>
  <si>
    <t>C492404</t>
  </si>
  <si>
    <t>PZ254V-11-05P</t>
  </si>
  <si>
    <t>C37208</t>
  </si>
  <si>
    <t>C98220</t>
  </si>
  <si>
    <t>C181312</t>
  </si>
  <si>
    <t>SC-70-6</t>
  </si>
  <si>
    <t>Quantity (1000 Boards)</t>
  </si>
  <si>
    <t>MOQ (1000 Boards)</t>
  </si>
  <si>
    <t>Unit Cost (1000 Boards)</t>
  </si>
  <si>
    <t>Total Cost (1000 Boards)</t>
  </si>
  <si>
    <t>Quantity (5000 Boards)</t>
  </si>
  <si>
    <t>MOQ (5000 Boards)</t>
  </si>
  <si>
    <t>Unit Cost (5000 Boards)</t>
  </si>
  <si>
    <t>Total Cost (5000 Boards)</t>
  </si>
  <si>
    <t xml:space="preserve">Total Component Cost </t>
  </si>
  <si>
    <t>Single Board Cost</t>
  </si>
  <si>
    <t xml:space="preserve">Custom Supplier </t>
  </si>
  <si>
    <t>Custom Supplier</t>
  </si>
  <si>
    <t>LULU Quote</t>
  </si>
  <si>
    <t xml:space="preserve">LULU Qoute </t>
  </si>
  <si>
    <t xml:space="preserve">2250 Pieces Stock in LCSC </t>
  </si>
  <si>
    <t xml:space="preserve">1780 Pieces Stock in LCSC </t>
  </si>
  <si>
    <t xml:space="preserve">2910 Pieces Stock in LCSC </t>
  </si>
  <si>
    <t>Less Stock On LCSC ETA request sended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</si>
</sst>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5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/>
    </xf>
    <xf numFmtId="0" fontId="19" fillId="4" borderId="17" xfId="0" applyFont="1" applyFill="1" applyBorder="1" applyAlignment="1">
      <alignment horizont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5" borderId="20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 wrapText="1"/>
    </xf>
    <xf numFmtId="165" fontId="22" fillId="4" borderId="17" xfId="1" applyNumberFormat="1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 wrapText="1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5" borderId="14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4" fillId="4" borderId="19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8" fillId="4" borderId="22" xfId="0" applyFont="1" applyFill="1" applyBorder="1" applyAlignment="1">
      <alignment horizontal="center" vertical="center" wrapText="1"/>
    </xf>
    <xf numFmtId="0" fontId="18" fillId="4" borderId="6" xfId="0" quotePrefix="1" applyFont="1" applyFill="1" applyBorder="1" applyAlignment="1">
      <alignment horizontal="center" vertical="center" wrapText="1"/>
    </xf>
    <xf numFmtId="0" fontId="23" fillId="0" borderId="17" xfId="0" quotePrefix="1" applyFont="1" applyBorder="1" applyAlignment="1">
      <alignment horizontal="center" vertical="center"/>
    </xf>
    <xf numFmtId="0" fontId="23" fillId="4" borderId="17" xfId="0" quotePrefix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0" borderId="6" xfId="0" quotePrefix="1" applyFont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2" borderId="6" xfId="0" quotePrefix="1" applyFont="1" applyFill="1" applyBorder="1" applyAlignment="1">
      <alignment horizontal="center" vertical="center"/>
    </xf>
    <xf numFmtId="0" fontId="23" fillId="4" borderId="6" xfId="0" quotePrefix="1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/>
    </xf>
    <xf numFmtId="165" fontId="21" fillId="4" borderId="17" xfId="1" applyNumberFormat="1" applyFill="1" applyBorder="1" applyAlignment="1">
      <alignment horizontal="center" vertical="center"/>
    </xf>
    <xf numFmtId="165" fontId="21" fillId="2" borderId="17" xfId="1" applyNumberFormat="1" applyFill="1" applyBorder="1" applyAlignment="1">
      <alignment horizontal="center" vertical="center"/>
    </xf>
    <xf numFmtId="0" fontId="21" fillId="0" borderId="17" xfId="1" quotePrefix="1" applyFill="1" applyBorder="1" applyAlignment="1">
      <alignment horizontal="center" vertical="center"/>
    </xf>
    <xf numFmtId="0" fontId="21" fillId="0" borderId="17" xfId="1" applyBorder="1" applyAlignment="1">
      <alignment horizontal="center" vertical="center"/>
    </xf>
    <xf numFmtId="0" fontId="21" fillId="4" borderId="17" xfId="1" applyFill="1" applyBorder="1" applyAlignment="1">
      <alignment horizontal="center" vertical="center"/>
    </xf>
    <xf numFmtId="165" fontId="20" fillId="4" borderId="17" xfId="0" applyNumberFormat="1" applyFont="1" applyFill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165" fontId="20" fillId="4" borderId="19" xfId="0" applyNumberFormat="1" applyFont="1" applyFill="1" applyBorder="1" applyAlignment="1">
      <alignment horizontal="center" vertical="center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4" borderId="6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4" borderId="22" xfId="0" applyNumberFormat="1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/>
    </xf>
    <xf numFmtId="0" fontId="19" fillId="4" borderId="19" xfId="0" applyFont="1" applyFill="1" applyBorder="1" applyAlignment="1">
      <alignment horizontal="center"/>
    </xf>
    <xf numFmtId="0" fontId="21" fillId="0" borderId="17" xfId="1" quotePrefix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 wrapText="1"/>
    </xf>
    <xf numFmtId="0" fontId="21" fillId="4" borderId="17" xfId="1" quotePrefix="1" applyFill="1" applyBorder="1" applyAlignment="1">
      <alignment horizontal="center" vertical="center"/>
    </xf>
    <xf numFmtId="0" fontId="25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165" fontId="20" fillId="0" borderId="17" xfId="0" applyNumberFormat="1" applyFont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65" fontId="20" fillId="4" borderId="17" xfId="0" applyNumberFormat="1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wrapText="1"/>
    </xf>
    <xf numFmtId="0" fontId="23" fillId="0" borderId="17" xfId="0" quotePrefix="1" applyFont="1" applyBorder="1" applyAlignment="1">
      <alignment horizontal="center" vertical="center" wrapText="1"/>
    </xf>
    <xf numFmtId="165" fontId="20" fillId="4" borderId="19" xfId="0" applyNumberFormat="1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wrapText="1"/>
    </xf>
    <xf numFmtId="165" fontId="21" fillId="4" borderId="19" xfId="1" applyNumberForma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165" fontId="18" fillId="2" borderId="5" xfId="0" applyNumberFormat="1" applyFont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165" fontId="18" fillId="4" borderId="6" xfId="0" applyNumberFormat="1" applyFon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165" fontId="18" fillId="2" borderId="6" xfId="0" applyNumberFormat="1" applyFont="1" applyFill="1" applyBorder="1" applyAlignment="1">
      <alignment horizontal="center" vertical="center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165" fontId="0" fillId="0" borderId="0" xfId="0" applyNumberFormat="1"/>
    <xf numFmtId="0" fontId="27" fillId="4" borderId="17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165" fontId="19" fillId="4" borderId="6" xfId="0" applyNumberFormat="1" applyFont="1" applyFill="1" applyBorder="1" applyAlignment="1">
      <alignment horizontal="center" vertical="center" wrapText="1"/>
    </xf>
    <xf numFmtId="165" fontId="23" fillId="4" borderId="17" xfId="0" applyNumberFormat="1" applyFont="1" applyFill="1" applyBorder="1" applyAlignment="1">
      <alignment horizontal="center" vertical="center"/>
    </xf>
    <xf numFmtId="0" fontId="21" fillId="2" borderId="17" xfId="1" quotePrefix="1" applyFill="1" applyBorder="1" applyAlignment="1">
      <alignment horizontal="center" vertical="center"/>
    </xf>
    <xf numFmtId="165" fontId="20" fillId="2" borderId="17" xfId="0" applyNumberFormat="1" applyFont="1" applyFill="1" applyBorder="1" applyAlignment="1">
      <alignment horizontal="center" vertical="center"/>
    </xf>
    <xf numFmtId="165" fontId="20" fillId="2" borderId="17" xfId="0" applyNumberFormat="1" applyFont="1" applyFill="1" applyBorder="1" applyAlignment="1">
      <alignment horizontal="center" vertical="center" wrapText="1"/>
    </xf>
    <xf numFmtId="0" fontId="21" fillId="0" borderId="17" xfId="1" quotePrefix="1" applyBorder="1" applyAlignment="1">
      <alignment horizontal="center" vertical="center" wrapText="1"/>
    </xf>
    <xf numFmtId="165" fontId="21" fillId="4" borderId="17" xfId="1" applyNumberForma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8" fillId="4" borderId="17" xfId="0" applyFont="1" applyFill="1" applyBorder="1" applyAlignment="1">
      <alignment horizontal="center" vertical="center" wrapText="1"/>
    </xf>
    <xf numFmtId="0" fontId="28" fillId="4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 applyProtection="1">
      <alignment horizontal="center" vertical="top"/>
      <protection locked="0"/>
    </xf>
    <xf numFmtId="0" fontId="26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4CB62-1222-4642-B089-CBA71190C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41257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C17110-67CF-47EC-89B8-87655712B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41257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ultilayer-Ceramic-Capacitors-MLCC-SMD-SMT_YAGEO-CC0603KRX7R8BB101_C519410.html" TargetMode="External"/><Relationship Id="rId13" Type="http://schemas.openxmlformats.org/officeDocument/2006/relationships/hyperlink" Target="https://lcsc.com/product-detail/Linear-Voltage-Regulators-LDO_Torex-Semicon-XC6220B331MR-G_C86534.html" TargetMode="External"/><Relationship Id="rId18" Type="http://schemas.openxmlformats.org/officeDocument/2006/relationships/hyperlink" Target="https://www.lcsc.com/product-detail/Tantalum-Capacitors_PANASONIC-6TPE680MI_C79115.html" TargetMode="External"/><Relationship Id="rId26" Type="http://schemas.openxmlformats.org/officeDocument/2006/relationships/hyperlink" Target="https://www.lcsc.com/product-detail/WiFi-Modules_Espressif-Systems-ESP32-WROVER-E-N8R8_C2973667.html" TargetMode="External"/><Relationship Id="rId3" Type="http://schemas.openxmlformats.org/officeDocument/2006/relationships/hyperlink" Target="https://lcsc.com/product-detail/Multilayer-Ceramic-Capacitors-MLCC-SMD-SMT_YAGEO-CC0402JRNPO9BN221_C107001.html" TargetMode="External"/><Relationship Id="rId21" Type="http://schemas.openxmlformats.org/officeDocument/2006/relationships/hyperlink" Target="https://www.lcsc.com/product-detail/Pin-Headers_XFCN-PZ254V-11-05P_C492404.html" TargetMode="External"/><Relationship Id="rId7" Type="http://schemas.openxmlformats.org/officeDocument/2006/relationships/hyperlink" Target="https://lcsc.com/product-detail/Multilayer-Ceramic-Capacitors-MLCC-SMD-SMT_YAGEO-CC0603KRX7R8BB684_C2838708.html" TargetMode="External"/><Relationship Id="rId12" Type="http://schemas.openxmlformats.org/officeDocument/2006/relationships/hyperlink" Target="https://lcsc.com/product-detail/Crystals_JGHC-S3224576121060_C390772.html" TargetMode="External"/><Relationship Id="rId17" Type="http://schemas.openxmlformats.org/officeDocument/2006/relationships/hyperlink" Target="https://lcsc.com/product-detail/Chip-Resistor-Surface-Mount_YAGEO-RC0603JR-075K1L_C14677.html" TargetMode="External"/><Relationship Id="rId25" Type="http://schemas.openxmlformats.org/officeDocument/2006/relationships/hyperlink" Target="https://www.lcsc.com/product-detail/Tactile-Switches_XKB-Connectivity-TS-1185EC-C-D-B_C318893.html" TargetMode="External"/><Relationship Id="rId2" Type="http://schemas.openxmlformats.org/officeDocument/2006/relationships/hyperlink" Target="https://lcsc.com/product-detail/Multilayer-Ceramic-Capacitors-MLCC-SMD-SMT_YAGEO-CC0603KRX5R8BB105_C14664.html" TargetMode="External"/><Relationship Id="rId16" Type="http://schemas.openxmlformats.org/officeDocument/2006/relationships/hyperlink" Target="https://lcsc.com/product-detail/Chip-Resistor-Surface-Mount_YAGEO-RC0603FR-070RL_C100044.html" TargetMode="External"/><Relationship Id="rId20" Type="http://schemas.openxmlformats.org/officeDocument/2006/relationships/hyperlink" Target="https://www.lcsc.com/product-detail/Multilayer-Ceramic-Capacitors-MLCC-SMD-SMT_Taiyo-Yuden-EMK212BB7106MG-T_C141287.html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https://lcsc.com/product-detail/Multilayer-Ceramic-Capacitors-MLCC-SMD-SMT_Samsung-Electro-Mechanics-CL10A475KA8NQNC_C69335.html" TargetMode="External"/><Relationship Id="rId6" Type="http://schemas.openxmlformats.org/officeDocument/2006/relationships/hyperlink" Target="https://lcsc.com/product-detail/Multilayer-Ceramic-Capacitors-MLCC-SMD-SMT_YAGEO-CC0603JRNPO9BN180_C107040.html" TargetMode="External"/><Relationship Id="rId11" Type="http://schemas.openxmlformats.org/officeDocument/2006/relationships/hyperlink" Target="https://lcsc.com/product-detail/Crystals_JYJE-3TJ481920NYLBC_C2898996.html" TargetMode="External"/><Relationship Id="rId24" Type="http://schemas.openxmlformats.org/officeDocument/2006/relationships/hyperlink" Target="https://www.lcsc.com/product-detail/Chip-Resistor-Surface-Mount_YAGEO-RC0603FR-0710KL_C98220.html" TargetMode="External"/><Relationship Id="rId5" Type="http://schemas.openxmlformats.org/officeDocument/2006/relationships/hyperlink" Target="https://lcsc.com/product-detail/Multilayer-Ceramic-Capacitors-MLCC-SMD-SMT_Taiyo-Yuden-UMK107C7224KAHTE_C386159.html" TargetMode="External"/><Relationship Id="rId15" Type="http://schemas.openxmlformats.org/officeDocument/2006/relationships/hyperlink" Target="https://lcsc.com/product-detail/Chip-Resistor-Surface-Mount_FH-Guangdong-Fenghua-Advanced-Tech-RS-03K104JT_C73806.html" TargetMode="External"/><Relationship Id="rId23" Type="http://schemas.openxmlformats.org/officeDocument/2006/relationships/hyperlink" Target="https://www.lcsc.com/product-detail/Pin-Headers_BOOMELE-Boom-Precision-Elec-C37208_C37208.html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lcsc.com/product-detail/ESD-Protection-Devices_Leiditech-TPD1E10B06DPYR_C2972450.html" TargetMode="External"/><Relationship Id="rId19" Type="http://schemas.openxmlformats.org/officeDocument/2006/relationships/hyperlink" Target="https://www.lcsc.com/product-detail/Multilayer-Ceramic-Capacitors-MLCC-SMD-SMT_Samsung-Electro-Mechanics-CL10A106MA8NRNC_C96446.html" TargetMode="External"/><Relationship Id="rId4" Type="http://schemas.openxmlformats.org/officeDocument/2006/relationships/hyperlink" Target="https://lcsc.com/product-detail/Multilayer-Ceramic-Capacitors-MLCC-SMD-SMT_YAGEO-CC0603KRX7R0BB104_C113803.html" TargetMode="External"/><Relationship Id="rId9" Type="http://schemas.openxmlformats.org/officeDocument/2006/relationships/hyperlink" Target="https://lcsc.com/product-detail/ESD-Protection-Devices_Brightking-Elec-TAIWAN-UDD32C03L01_C78439.html" TargetMode="External"/><Relationship Id="rId14" Type="http://schemas.openxmlformats.org/officeDocument/2006/relationships/hyperlink" Target="https://lcsc.com/product-detail/Digital-Transistors_Changjiang-Electronics-Tech-CJ-UMH3N_C62892.html" TargetMode="External"/><Relationship Id="rId22" Type="http://schemas.openxmlformats.org/officeDocument/2006/relationships/hyperlink" Target="https://www.lcsc.com/product-detail/USB-Connectors_XKB-Connectivity-U262-061N-4BVC11_C2764612.html" TargetMode="External"/><Relationship Id="rId27" Type="http://schemas.openxmlformats.org/officeDocument/2006/relationships/hyperlink" Target="https://www.lcsc.com/product-detail/Analog-Front-End-AFEs_Texas-Instruments-PCM1865DBTR_C181312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ultilayer-Ceramic-Capacitors-MLCC-SMD-SMT_YAGEO-CC0603KRX7R8BB101_C519410.html" TargetMode="External"/><Relationship Id="rId13" Type="http://schemas.openxmlformats.org/officeDocument/2006/relationships/hyperlink" Target="https://lcsc.com/product-detail/Linear-Voltage-Regulators-LDO_Torex-Semicon-XC6220B331MR-G_C86534.html" TargetMode="External"/><Relationship Id="rId18" Type="http://schemas.openxmlformats.org/officeDocument/2006/relationships/hyperlink" Target="https://www.lcsc.com/product-detail/Tantalum-Capacitors_PANASONIC-6TPE680MI_C79115.html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https://lcsc.com/product-detail/Multilayer-Ceramic-Capacitors-MLCC-SMD-SMT_YAGEO-CC0402JRNPO9BN221_C107001.html" TargetMode="External"/><Relationship Id="rId21" Type="http://schemas.openxmlformats.org/officeDocument/2006/relationships/hyperlink" Target="https://www.lcsc.com/product-detail/Pin-Headers_XFCN-PZ254V-11-05P_C492404.html" TargetMode="External"/><Relationship Id="rId7" Type="http://schemas.openxmlformats.org/officeDocument/2006/relationships/hyperlink" Target="https://lcsc.com/product-detail/Multilayer-Ceramic-Capacitors-MLCC-SMD-SMT_YAGEO-CC0603KRX7R8BB684_C2838708.html" TargetMode="External"/><Relationship Id="rId12" Type="http://schemas.openxmlformats.org/officeDocument/2006/relationships/hyperlink" Target="https://lcsc.com/product-detail/Crystals_JGHC-S3224576121060_C390772.html" TargetMode="External"/><Relationship Id="rId17" Type="http://schemas.openxmlformats.org/officeDocument/2006/relationships/hyperlink" Target="https://lcsc.com/product-detail/Chip-Resistor-Surface-Mount_YAGEO-RC0603JR-075K1L_C14677.html" TargetMode="External"/><Relationship Id="rId25" Type="http://schemas.openxmlformats.org/officeDocument/2006/relationships/hyperlink" Target="https://www.lcsc.com/product-detail/Analog-Front-End-AFEs_Texas-Instruments-PCM1865DBTR_C181312.html" TargetMode="External"/><Relationship Id="rId2" Type="http://schemas.openxmlformats.org/officeDocument/2006/relationships/hyperlink" Target="https://lcsc.com/product-detail/Multilayer-Ceramic-Capacitors-MLCC-SMD-SMT_YAGEO-CC0603KRX5R8BB105_C14664.html" TargetMode="External"/><Relationship Id="rId16" Type="http://schemas.openxmlformats.org/officeDocument/2006/relationships/hyperlink" Target="https://lcsc.com/product-detail/Chip-Resistor-Surface-Mount_YAGEO-RC0603FR-070RL_C100044.html" TargetMode="External"/><Relationship Id="rId20" Type="http://schemas.openxmlformats.org/officeDocument/2006/relationships/hyperlink" Target="https://www.lcsc.com/product-detail/Multilayer-Ceramic-Capacitors-MLCC-SMD-SMT_Taiyo-Yuden-EMK212BB7106MG-T_C141287.html" TargetMode="External"/><Relationship Id="rId1" Type="http://schemas.openxmlformats.org/officeDocument/2006/relationships/hyperlink" Target="https://lcsc.com/product-detail/Multilayer-Ceramic-Capacitors-MLCC-SMD-SMT_Samsung-Electro-Mechanics-CL10A475KA8NQNC_C69335.html" TargetMode="External"/><Relationship Id="rId6" Type="http://schemas.openxmlformats.org/officeDocument/2006/relationships/hyperlink" Target="https://lcsc.com/product-detail/Multilayer-Ceramic-Capacitors-MLCC-SMD-SMT_YAGEO-CC0603JRNPO9BN180_C107040.html" TargetMode="External"/><Relationship Id="rId11" Type="http://schemas.openxmlformats.org/officeDocument/2006/relationships/hyperlink" Target="https://lcsc.com/product-detail/Crystals_JYJE-3TJ481920NYLBC_C2898996.html" TargetMode="External"/><Relationship Id="rId24" Type="http://schemas.openxmlformats.org/officeDocument/2006/relationships/hyperlink" Target="https://www.lcsc.com/product-detail/Chip-Resistor-Surface-Mount_YAGEO-RC0603FR-0710KL_C98220.html" TargetMode="External"/><Relationship Id="rId5" Type="http://schemas.openxmlformats.org/officeDocument/2006/relationships/hyperlink" Target="https://lcsc.com/product-detail/Multilayer-Ceramic-Capacitors-MLCC-SMD-SMT_Taiyo-Yuden-UMK107C7224KAHTE_C386159.html" TargetMode="External"/><Relationship Id="rId15" Type="http://schemas.openxmlformats.org/officeDocument/2006/relationships/hyperlink" Target="https://lcsc.com/product-detail/Chip-Resistor-Surface-Mount_FH-Guangdong-Fenghua-Advanced-Tech-RS-03K104JT_C73806.html" TargetMode="External"/><Relationship Id="rId23" Type="http://schemas.openxmlformats.org/officeDocument/2006/relationships/hyperlink" Target="https://www.lcsc.com/product-detail/Pin-Headers_BOOMELE-Boom-Precision-Elec-C37208_C37208.html" TargetMode="External"/><Relationship Id="rId10" Type="http://schemas.openxmlformats.org/officeDocument/2006/relationships/hyperlink" Target="https://lcsc.com/product-detail/ESD-Protection-Devices_Leiditech-TPD1E10B06DPYR_C2972450.html" TargetMode="External"/><Relationship Id="rId19" Type="http://schemas.openxmlformats.org/officeDocument/2006/relationships/hyperlink" Target="https://www.lcsc.com/product-detail/Multilayer-Ceramic-Capacitors-MLCC-SMD-SMT_Samsung-Electro-Mechanics-CL10A106MA8NRNC_C96446.html" TargetMode="External"/><Relationship Id="rId4" Type="http://schemas.openxmlformats.org/officeDocument/2006/relationships/hyperlink" Target="https://lcsc.com/product-detail/Multilayer-Ceramic-Capacitors-MLCC-SMD-SMT_YAGEO-CC0603KRX7R0BB104_C113803.html" TargetMode="External"/><Relationship Id="rId9" Type="http://schemas.openxmlformats.org/officeDocument/2006/relationships/hyperlink" Target="https://lcsc.com/product-detail/ESD-Protection-Devices_Brightking-Elec-TAIWAN-UDD32C03L01_C78439.html" TargetMode="External"/><Relationship Id="rId14" Type="http://schemas.openxmlformats.org/officeDocument/2006/relationships/hyperlink" Target="https://lcsc.com/product-detail/Digital-Transistors_Changjiang-Electronics-Tech-CJ-UMH3N_C62892.html" TargetMode="External"/><Relationship Id="rId22" Type="http://schemas.openxmlformats.org/officeDocument/2006/relationships/hyperlink" Target="https://www.lcsc.com/product-detail/USB-Connectors_XKB-Connectivity-U262-061N-4BVC11_C2764612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ultilayer-Ceramic-Capacitors-MLCC-SMD-SMT_YAGEO-CC0603KRX7R8BB101_C519410.html" TargetMode="External"/><Relationship Id="rId13" Type="http://schemas.openxmlformats.org/officeDocument/2006/relationships/hyperlink" Target="https://lcsc.com/product-detail/Linear-Voltage-Regulators-LDO_Torex-Semicon-XC6220B331MR-G_C86534.html" TargetMode="External"/><Relationship Id="rId18" Type="http://schemas.openxmlformats.org/officeDocument/2006/relationships/hyperlink" Target="https://www.lcsc.com/product-detail/Tantalum-Capacitors_PANASONIC-6TPE680MI_C79115.html" TargetMode="External"/><Relationship Id="rId26" Type="http://schemas.openxmlformats.org/officeDocument/2006/relationships/hyperlink" Target="https://www.lcsc.com/product-detail/Analog-Front-End-AFEs_Texas-Instruments-PCM1865DBTR_C181312.html" TargetMode="External"/><Relationship Id="rId3" Type="http://schemas.openxmlformats.org/officeDocument/2006/relationships/hyperlink" Target="https://lcsc.com/product-detail/Multilayer-Ceramic-Capacitors-MLCC-SMD-SMT_YAGEO-CC0402JRNPO9BN221_C107001.html" TargetMode="External"/><Relationship Id="rId21" Type="http://schemas.openxmlformats.org/officeDocument/2006/relationships/hyperlink" Target="https://www.lcsc.com/product-detail/Pin-Headers_XFCN-PZ254V-11-05P_C492404.html" TargetMode="External"/><Relationship Id="rId7" Type="http://schemas.openxmlformats.org/officeDocument/2006/relationships/hyperlink" Target="https://lcsc.com/product-detail/Multilayer-Ceramic-Capacitors-MLCC-SMD-SMT_YAGEO-CC0603KRX7R8BB684_C2838708.html" TargetMode="External"/><Relationship Id="rId12" Type="http://schemas.openxmlformats.org/officeDocument/2006/relationships/hyperlink" Target="https://lcsc.com/product-detail/Crystals_JGHC-S3224576121060_C390772.html" TargetMode="External"/><Relationship Id="rId17" Type="http://schemas.openxmlformats.org/officeDocument/2006/relationships/hyperlink" Target="https://lcsc.com/product-detail/Chip-Resistor-Surface-Mount_YAGEO-RC0603JR-075K1L_C14677.html" TargetMode="External"/><Relationship Id="rId25" Type="http://schemas.openxmlformats.org/officeDocument/2006/relationships/hyperlink" Target="https://www.lcsc.com/product-detail/WiFi-Modules_Espressif-Systems-ESP32-WROVER-E-N8R8_C2973667.html" TargetMode="External"/><Relationship Id="rId2" Type="http://schemas.openxmlformats.org/officeDocument/2006/relationships/hyperlink" Target="https://lcsc.com/product-detail/Multilayer-Ceramic-Capacitors-MLCC-SMD-SMT_YAGEO-CC0603KRX5R8BB105_C14664.html" TargetMode="External"/><Relationship Id="rId16" Type="http://schemas.openxmlformats.org/officeDocument/2006/relationships/hyperlink" Target="https://lcsc.com/product-detail/Chip-Resistor-Surface-Mount_YAGEO-RC0603FR-070RL_C100044.html" TargetMode="External"/><Relationship Id="rId20" Type="http://schemas.openxmlformats.org/officeDocument/2006/relationships/hyperlink" Target="https://www.lcsc.com/product-detail/Multilayer-Ceramic-Capacitors-MLCC-SMD-SMT_Taiyo-Yuden-EMK212BB7106MG-T_C141287.html" TargetMode="External"/><Relationship Id="rId1" Type="http://schemas.openxmlformats.org/officeDocument/2006/relationships/hyperlink" Target="https://lcsc.com/product-detail/Multilayer-Ceramic-Capacitors-MLCC-SMD-SMT_Samsung-Electro-Mechanics-CL10A475KA8NQNC_C69335.html" TargetMode="External"/><Relationship Id="rId6" Type="http://schemas.openxmlformats.org/officeDocument/2006/relationships/hyperlink" Target="https://lcsc.com/product-detail/Multilayer-Ceramic-Capacitors-MLCC-SMD-SMT_YAGEO-CC0603JRNPO9BN180_C107040.html" TargetMode="External"/><Relationship Id="rId11" Type="http://schemas.openxmlformats.org/officeDocument/2006/relationships/hyperlink" Target="https://lcsc.com/product-detail/Crystals_JYJE-3TJ481920NYLBC_C2898996.html" TargetMode="External"/><Relationship Id="rId24" Type="http://schemas.openxmlformats.org/officeDocument/2006/relationships/hyperlink" Target="https://www.lcsc.com/product-detail/Chip-Resistor-Surface-Mount_YAGEO-RC0603FR-0710KL_C98220.html" TargetMode="External"/><Relationship Id="rId5" Type="http://schemas.openxmlformats.org/officeDocument/2006/relationships/hyperlink" Target="https://lcsc.com/product-detail/Multilayer-Ceramic-Capacitors-MLCC-SMD-SMT_Taiyo-Yuden-UMK107C7224KAHTE_C386159.html" TargetMode="External"/><Relationship Id="rId15" Type="http://schemas.openxmlformats.org/officeDocument/2006/relationships/hyperlink" Target="https://lcsc.com/product-detail/Chip-Resistor-Surface-Mount_FH-Guangdong-Fenghua-Advanced-Tech-RS-03K104JT_C73806.html" TargetMode="External"/><Relationship Id="rId23" Type="http://schemas.openxmlformats.org/officeDocument/2006/relationships/hyperlink" Target="https://www.lcsc.com/product-detail/Pin-Headers_BOOMELE-Boom-Precision-Elec-C37208_C37208.html" TargetMode="External"/><Relationship Id="rId10" Type="http://schemas.openxmlformats.org/officeDocument/2006/relationships/hyperlink" Target="https://lcsc.com/product-detail/ESD-Protection-Devices_Leiditech-TPD1E10B06DPYR_C2972450.html" TargetMode="External"/><Relationship Id="rId19" Type="http://schemas.openxmlformats.org/officeDocument/2006/relationships/hyperlink" Target="https://www.lcsc.com/product-detail/Multilayer-Ceramic-Capacitors-MLCC-SMD-SMT_Samsung-Electro-Mechanics-CL10A106MA8NRNC_C96446.html" TargetMode="External"/><Relationship Id="rId4" Type="http://schemas.openxmlformats.org/officeDocument/2006/relationships/hyperlink" Target="https://lcsc.com/product-detail/Multilayer-Ceramic-Capacitors-MLCC-SMD-SMT_YAGEO-CC0603KRX7R0BB104_C113803.html" TargetMode="External"/><Relationship Id="rId9" Type="http://schemas.openxmlformats.org/officeDocument/2006/relationships/hyperlink" Target="https://lcsc.com/product-detail/ESD-Protection-Devices_Brightking-Elec-TAIWAN-UDD32C03L01_C78439.html" TargetMode="External"/><Relationship Id="rId14" Type="http://schemas.openxmlformats.org/officeDocument/2006/relationships/hyperlink" Target="https://lcsc.com/product-detail/Digital-Transistors_Changjiang-Electronics-Tech-CJ-UMH3N_C62892.html" TargetMode="External"/><Relationship Id="rId22" Type="http://schemas.openxmlformats.org/officeDocument/2006/relationships/hyperlink" Target="https://www.lcsc.com/product-detail/USB-Connectors_XKB-Connectivity-U262-061N-4BVC11_C2764612.html" TargetMode="External"/><Relationship Id="rId2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1"/>
  <sheetViews>
    <sheetView topLeftCell="A28" workbookViewId="0">
      <selection activeCell="A36" sqref="A36"/>
    </sheetView>
  </sheetViews>
  <sheetFormatPr defaultRowHeight="15" x14ac:dyDescent="0.25"/>
  <cols>
    <col min="2" max="2" width="3" style="26" bestFit="1" customWidth="1"/>
    <col min="3" max="3" width="14.28515625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5.425781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19.28515625" bestFit="1" customWidth="1"/>
    <col min="14" max="15" width="16.140625" bestFit="1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41"/>
      <c r="L1" s="141"/>
      <c r="M1" s="141"/>
      <c r="N1" s="141"/>
      <c r="O1" s="141"/>
      <c r="P1" s="141"/>
      <c r="Q1" s="141"/>
      <c r="R1" s="141"/>
      <c r="S1" s="142"/>
    </row>
    <row r="2" spans="1:19" ht="32.25" thickBot="1" x14ac:dyDescent="0.3">
      <c r="A2" s="1"/>
      <c r="B2" s="21"/>
      <c r="C2" s="32"/>
      <c r="D2" s="11" t="s">
        <v>0</v>
      </c>
      <c r="E2" s="11"/>
      <c r="F2" s="45" t="s">
        <v>160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3"/>
      <c r="D3" s="13" t="s">
        <v>1</v>
      </c>
      <c r="E3" s="13"/>
      <c r="F3" s="46" t="s">
        <v>161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43"/>
    </row>
    <row r="4" spans="1:19" x14ac:dyDescent="0.25">
      <c r="A4" s="1"/>
      <c r="B4" s="22"/>
      <c r="C4" s="33"/>
      <c r="D4" s="13" t="s">
        <v>2</v>
      </c>
      <c r="E4" s="13"/>
      <c r="F4" s="47" t="s">
        <v>161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44"/>
    </row>
    <row r="5" spans="1:19" x14ac:dyDescent="0.25">
      <c r="A5" s="1"/>
      <c r="B5" s="22"/>
      <c r="C5" s="33"/>
      <c r="D5" s="13" t="s">
        <v>3</v>
      </c>
      <c r="E5" s="13"/>
      <c r="F5" s="4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44"/>
    </row>
    <row r="6" spans="1:19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44"/>
    </row>
    <row r="7" spans="1:19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44"/>
    </row>
    <row r="8" spans="1:19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44"/>
    </row>
    <row r="9" spans="1:19" ht="15.75" thickBot="1" x14ac:dyDescent="0.3">
      <c r="A9" s="1"/>
      <c r="B9" s="49" t="s">
        <v>4</v>
      </c>
      <c r="C9" s="30" t="s">
        <v>6</v>
      </c>
      <c r="D9" s="31" t="s">
        <v>10</v>
      </c>
      <c r="E9" s="30" t="s">
        <v>40</v>
      </c>
      <c r="F9" s="31" t="s">
        <v>71</v>
      </c>
      <c r="G9" s="30" t="s">
        <v>92</v>
      </c>
      <c r="H9" s="31" t="s">
        <v>112</v>
      </c>
      <c r="I9" s="30" t="s">
        <v>151</v>
      </c>
      <c r="J9" s="31" t="s">
        <v>128</v>
      </c>
      <c r="K9" s="30" t="s">
        <v>147</v>
      </c>
      <c r="L9" s="31" t="s">
        <v>145</v>
      </c>
      <c r="M9" s="30" t="s">
        <v>189</v>
      </c>
      <c r="N9" s="31" t="s">
        <v>190</v>
      </c>
      <c r="O9" s="30" t="s">
        <v>148</v>
      </c>
      <c r="P9" s="31" t="s">
        <v>191</v>
      </c>
      <c r="Q9" s="30" t="s">
        <v>192</v>
      </c>
      <c r="R9" s="31" t="s">
        <v>149</v>
      </c>
      <c r="S9" s="30" t="s">
        <v>150</v>
      </c>
    </row>
    <row r="10" spans="1:19" ht="15.75" thickBot="1" x14ac:dyDescent="0.3">
      <c r="A10" s="1"/>
      <c r="B10" s="61">
        <f>ROW(B10) - ROW($B$9)</f>
        <v>1</v>
      </c>
      <c r="C10" s="52" t="s">
        <v>7</v>
      </c>
      <c r="D10" s="39" t="s">
        <v>11</v>
      </c>
      <c r="E10" s="38" t="s">
        <v>41</v>
      </c>
      <c r="F10" s="39" t="s">
        <v>72</v>
      </c>
      <c r="G10" s="38" t="s">
        <v>93</v>
      </c>
      <c r="H10" s="39" t="s">
        <v>113</v>
      </c>
      <c r="I10" s="38" t="s">
        <v>176</v>
      </c>
      <c r="J10" s="71" t="s">
        <v>146</v>
      </c>
      <c r="K10" s="38" t="s">
        <v>131</v>
      </c>
      <c r="L10" s="39">
        <v>1</v>
      </c>
      <c r="M10" s="38">
        <f>L10*20</f>
        <v>20</v>
      </c>
      <c r="N10" s="39">
        <v>40</v>
      </c>
      <c r="O10" s="94" t="s">
        <v>152</v>
      </c>
      <c r="P10" s="88">
        <v>1.7100000000000001E-2</v>
      </c>
      <c r="Q10" s="42">
        <f t="shared" ref="Q10:Q30" si="0">P10*N10</f>
        <v>0.68400000000000005</v>
      </c>
      <c r="R10" s="39"/>
      <c r="S10" s="43"/>
    </row>
    <row r="11" spans="1:19" ht="36.75" thickBot="1" x14ac:dyDescent="0.3">
      <c r="A11" s="1"/>
      <c r="B11" s="55">
        <f t="shared" ref="B11:B38" si="1">ROW(B11) - ROW($B$9)</f>
        <v>2</v>
      </c>
      <c r="C11" s="53" t="s">
        <v>7</v>
      </c>
      <c r="D11" s="41" t="s">
        <v>12</v>
      </c>
      <c r="E11" s="40" t="s">
        <v>42</v>
      </c>
      <c r="F11" s="41" t="s">
        <v>72</v>
      </c>
      <c r="G11" s="40" t="s">
        <v>94</v>
      </c>
      <c r="H11" s="41" t="s">
        <v>114</v>
      </c>
      <c r="I11" s="40" t="s">
        <v>176</v>
      </c>
      <c r="J11" s="41" t="s">
        <v>153</v>
      </c>
      <c r="K11" s="40" t="s">
        <v>132</v>
      </c>
      <c r="L11" s="41">
        <v>17</v>
      </c>
      <c r="M11" s="40">
        <f t="shared" ref="M11:M39" si="2">L11*20</f>
        <v>340</v>
      </c>
      <c r="N11" s="41">
        <v>400</v>
      </c>
      <c r="O11" s="80" t="s">
        <v>152</v>
      </c>
      <c r="P11" s="89">
        <v>4.4999999999999997E-3</v>
      </c>
      <c r="Q11" s="85">
        <f t="shared" si="0"/>
        <v>1.7999999999999998</v>
      </c>
      <c r="R11" s="41"/>
      <c r="S11" s="44"/>
    </row>
    <row r="12" spans="1:19" ht="15.75" thickBot="1" x14ac:dyDescent="0.3">
      <c r="A12" s="1"/>
      <c r="B12" s="55">
        <f>ROW(B12) - ROW($B$9)</f>
        <v>3</v>
      </c>
      <c r="C12" s="62" t="s">
        <v>7</v>
      </c>
      <c r="D12" s="64" t="s">
        <v>13</v>
      </c>
      <c r="E12" s="50" t="s">
        <v>43</v>
      </c>
      <c r="F12" s="64" t="s">
        <v>73</v>
      </c>
      <c r="G12" s="50" t="s">
        <v>95</v>
      </c>
      <c r="H12" s="64" t="s">
        <v>114</v>
      </c>
      <c r="I12" s="50" t="s">
        <v>176</v>
      </c>
      <c r="J12" s="72" t="s">
        <v>154</v>
      </c>
      <c r="K12" s="50" t="s">
        <v>133</v>
      </c>
      <c r="L12" s="64">
        <v>8</v>
      </c>
      <c r="M12" s="50">
        <f t="shared" si="2"/>
        <v>160</v>
      </c>
      <c r="N12" s="64">
        <v>200</v>
      </c>
      <c r="O12" s="94" t="s">
        <v>152</v>
      </c>
      <c r="P12" s="90">
        <v>2.5000000000000001E-3</v>
      </c>
      <c r="Q12" s="86">
        <f t="shared" si="0"/>
        <v>0.5</v>
      </c>
      <c r="R12" s="64"/>
      <c r="S12" s="92"/>
    </row>
    <row r="13" spans="1:19" ht="15.75" thickBot="1" x14ac:dyDescent="0.3">
      <c r="A13" s="1"/>
      <c r="B13" s="55">
        <f t="shared" si="1"/>
        <v>4</v>
      </c>
      <c r="C13" s="53" t="s">
        <v>7</v>
      </c>
      <c r="D13" s="41" t="s">
        <v>14</v>
      </c>
      <c r="E13" s="40" t="s">
        <v>44</v>
      </c>
      <c r="F13" s="41" t="s">
        <v>74</v>
      </c>
      <c r="G13" s="40" t="s">
        <v>96</v>
      </c>
      <c r="H13" s="41" t="s">
        <v>115</v>
      </c>
      <c r="I13" s="40" t="s">
        <v>176</v>
      </c>
      <c r="J13" s="41" t="s">
        <v>129</v>
      </c>
      <c r="K13" s="40" t="s">
        <v>134</v>
      </c>
      <c r="L13" s="41">
        <v>2</v>
      </c>
      <c r="M13" s="40">
        <f t="shared" si="2"/>
        <v>40</v>
      </c>
      <c r="N13" s="41">
        <v>45</v>
      </c>
      <c r="O13" s="80" t="s">
        <v>152</v>
      </c>
      <c r="P13" s="89">
        <v>1.5225</v>
      </c>
      <c r="Q13" s="85">
        <f t="shared" si="0"/>
        <v>68.512500000000003</v>
      </c>
      <c r="R13" s="41"/>
      <c r="S13" s="44"/>
    </row>
    <row r="14" spans="1:19" ht="24.75" thickBot="1" x14ac:dyDescent="0.3">
      <c r="A14" s="1"/>
      <c r="B14" s="55">
        <f>ROW(B14) - ROW($B$9)</f>
        <v>5</v>
      </c>
      <c r="C14" s="62" t="s">
        <v>7</v>
      </c>
      <c r="D14" s="64" t="s">
        <v>15</v>
      </c>
      <c r="E14" s="50" t="s">
        <v>45</v>
      </c>
      <c r="F14" s="64" t="s">
        <v>72</v>
      </c>
      <c r="G14" s="50" t="s">
        <v>97</v>
      </c>
      <c r="H14" s="64" t="s">
        <v>114</v>
      </c>
      <c r="I14" s="50" t="s">
        <v>176</v>
      </c>
      <c r="J14" s="72" t="s">
        <v>155</v>
      </c>
      <c r="K14" s="50" t="s">
        <v>135</v>
      </c>
      <c r="L14" s="64">
        <v>12</v>
      </c>
      <c r="M14" s="50">
        <f t="shared" si="2"/>
        <v>240</v>
      </c>
      <c r="N14" s="64">
        <v>300</v>
      </c>
      <c r="O14" s="94" t="s">
        <v>152</v>
      </c>
      <c r="P14" s="90">
        <v>5.3E-3</v>
      </c>
      <c r="Q14" s="86">
        <f t="shared" si="0"/>
        <v>1.59</v>
      </c>
      <c r="R14" s="64"/>
      <c r="S14" s="92"/>
    </row>
    <row r="15" spans="1:19" ht="15.75" thickBot="1" x14ac:dyDescent="0.3">
      <c r="A15" s="1"/>
      <c r="B15" s="55">
        <f t="shared" si="1"/>
        <v>6</v>
      </c>
      <c r="C15" s="53" t="s">
        <v>7</v>
      </c>
      <c r="D15" s="41" t="s">
        <v>16</v>
      </c>
      <c r="E15" s="40" t="s">
        <v>46</v>
      </c>
      <c r="F15" s="41" t="s">
        <v>72</v>
      </c>
      <c r="G15" s="40" t="s">
        <v>98</v>
      </c>
      <c r="H15" s="41" t="s">
        <v>116</v>
      </c>
      <c r="I15" s="40" t="s">
        <v>176</v>
      </c>
      <c r="J15" s="41" t="s">
        <v>156</v>
      </c>
      <c r="K15" s="40" t="s">
        <v>136</v>
      </c>
      <c r="L15" s="41">
        <v>1</v>
      </c>
      <c r="M15" s="40">
        <f t="shared" si="2"/>
        <v>20</v>
      </c>
      <c r="N15" s="41">
        <v>30</v>
      </c>
      <c r="O15" s="80" t="s">
        <v>152</v>
      </c>
      <c r="P15" s="89">
        <v>3.3500000000000002E-2</v>
      </c>
      <c r="Q15" s="85">
        <f t="shared" si="0"/>
        <v>1.0050000000000001</v>
      </c>
      <c r="R15" s="41"/>
      <c r="S15" s="44"/>
    </row>
    <row r="16" spans="1:19" ht="15.75" thickBot="1" x14ac:dyDescent="0.3">
      <c r="A16" s="1"/>
      <c r="B16" s="55">
        <f>ROW(B16) - ROW($B$9)</f>
        <v>7</v>
      </c>
      <c r="C16" s="62" t="s">
        <v>7</v>
      </c>
      <c r="D16" s="64" t="s">
        <v>17</v>
      </c>
      <c r="E16" s="50" t="s">
        <v>47</v>
      </c>
      <c r="F16" s="64" t="s">
        <v>72</v>
      </c>
      <c r="G16" s="50" t="s">
        <v>99</v>
      </c>
      <c r="H16" s="64" t="s">
        <v>114</v>
      </c>
      <c r="I16" s="50" t="s">
        <v>176</v>
      </c>
      <c r="J16" s="72" t="s">
        <v>157</v>
      </c>
      <c r="K16" s="50" t="s">
        <v>137</v>
      </c>
      <c r="L16" s="64">
        <v>6</v>
      </c>
      <c r="M16" s="50">
        <f t="shared" si="2"/>
        <v>120</v>
      </c>
      <c r="N16" s="64">
        <v>200</v>
      </c>
      <c r="O16" s="94" t="s">
        <v>152</v>
      </c>
      <c r="P16" s="90">
        <v>2.7000000000000001E-3</v>
      </c>
      <c r="Q16" s="86">
        <f t="shared" si="0"/>
        <v>0.54</v>
      </c>
      <c r="R16" s="64"/>
      <c r="S16" s="92"/>
    </row>
    <row r="17" spans="1:19" ht="36.75" thickBot="1" x14ac:dyDescent="0.3">
      <c r="A17" s="1"/>
      <c r="B17" s="55">
        <f t="shared" si="1"/>
        <v>8</v>
      </c>
      <c r="C17" s="53" t="s">
        <v>7</v>
      </c>
      <c r="D17" s="41" t="s">
        <v>18</v>
      </c>
      <c r="E17" s="40" t="s">
        <v>48</v>
      </c>
      <c r="F17" s="41" t="s">
        <v>72</v>
      </c>
      <c r="G17" s="40" t="s">
        <v>100</v>
      </c>
      <c r="H17" s="41" t="s">
        <v>114</v>
      </c>
      <c r="I17" s="40" t="s">
        <v>176</v>
      </c>
      <c r="J17" s="41" t="s">
        <v>158</v>
      </c>
      <c r="K17" s="40" t="s">
        <v>138</v>
      </c>
      <c r="L17" s="41">
        <v>16</v>
      </c>
      <c r="M17" s="40">
        <f t="shared" si="2"/>
        <v>320</v>
      </c>
      <c r="N17" s="41">
        <v>350</v>
      </c>
      <c r="O17" s="80" t="s">
        <v>152</v>
      </c>
      <c r="P17" s="89">
        <v>9.2999999999999992E-3</v>
      </c>
      <c r="Q17" s="85">
        <f t="shared" si="0"/>
        <v>3.2549999999999999</v>
      </c>
      <c r="R17" s="41"/>
      <c r="S17" s="44"/>
    </row>
    <row r="18" spans="1:19" ht="15.75" thickBot="1" x14ac:dyDescent="0.3">
      <c r="A18" s="1"/>
      <c r="B18" s="55">
        <f>ROW(B18) - ROW($B$9)</f>
        <v>9</v>
      </c>
      <c r="C18" s="62" t="s">
        <v>7</v>
      </c>
      <c r="D18" s="64" t="s">
        <v>159</v>
      </c>
      <c r="E18" s="50" t="s">
        <v>49</v>
      </c>
      <c r="F18" s="64" t="s">
        <v>72</v>
      </c>
      <c r="G18" s="50" t="s">
        <v>101</v>
      </c>
      <c r="H18" s="64" t="s">
        <v>113</v>
      </c>
      <c r="I18" s="50" t="s">
        <v>176</v>
      </c>
      <c r="J18" s="72" t="s">
        <v>193</v>
      </c>
      <c r="K18" s="50" t="s">
        <v>139</v>
      </c>
      <c r="L18" s="64">
        <v>3</v>
      </c>
      <c r="M18" s="50">
        <f t="shared" si="2"/>
        <v>60</v>
      </c>
      <c r="N18" s="64">
        <v>80</v>
      </c>
      <c r="O18" s="94" t="s">
        <v>152</v>
      </c>
      <c r="P18" s="90">
        <v>2.3E-2</v>
      </c>
      <c r="Q18" s="86">
        <f t="shared" si="0"/>
        <v>1.8399999999999999</v>
      </c>
      <c r="R18" s="64"/>
      <c r="S18" s="92"/>
    </row>
    <row r="19" spans="1:19" ht="15.75" thickBot="1" x14ac:dyDescent="0.3">
      <c r="A19" s="1"/>
      <c r="B19" s="55">
        <f>ROW(B19) - ROW($B$9)</f>
        <v>10</v>
      </c>
      <c r="C19" s="53" t="s">
        <v>7</v>
      </c>
      <c r="D19" s="41" t="s">
        <v>19</v>
      </c>
      <c r="E19" s="40" t="s">
        <v>50</v>
      </c>
      <c r="F19" s="41" t="s">
        <v>72</v>
      </c>
      <c r="G19" s="40" t="s">
        <v>102</v>
      </c>
      <c r="H19" s="41" t="s">
        <v>114</v>
      </c>
      <c r="I19" s="40" t="s">
        <v>176</v>
      </c>
      <c r="J19" s="41" t="s">
        <v>162</v>
      </c>
      <c r="K19" s="40" t="s">
        <v>140</v>
      </c>
      <c r="L19" s="41">
        <v>1</v>
      </c>
      <c r="M19" s="40">
        <f t="shared" si="2"/>
        <v>20</v>
      </c>
      <c r="N19" s="41">
        <v>100</v>
      </c>
      <c r="O19" s="80" t="s">
        <v>152</v>
      </c>
      <c r="P19" s="89">
        <v>3.0999999999999999E-3</v>
      </c>
      <c r="Q19" s="85">
        <f t="shared" si="0"/>
        <v>0.31</v>
      </c>
      <c r="R19" s="41"/>
      <c r="S19" s="44"/>
    </row>
    <row r="20" spans="1:19" ht="36.75" thickBot="1" x14ac:dyDescent="0.3">
      <c r="A20" s="1"/>
      <c r="B20" s="55">
        <f t="shared" si="1"/>
        <v>11</v>
      </c>
      <c r="C20" s="62" t="s">
        <v>7</v>
      </c>
      <c r="D20" s="64" t="s">
        <v>20</v>
      </c>
      <c r="E20" s="50" t="s">
        <v>51</v>
      </c>
      <c r="F20" s="64" t="s">
        <v>75</v>
      </c>
      <c r="G20" s="50" t="s">
        <v>103</v>
      </c>
      <c r="H20" s="64" t="s">
        <v>116</v>
      </c>
      <c r="I20" s="50" t="s">
        <v>176</v>
      </c>
      <c r="J20" s="72" t="s">
        <v>194</v>
      </c>
      <c r="K20" s="50" t="s">
        <v>139</v>
      </c>
      <c r="L20" s="64">
        <v>16</v>
      </c>
      <c r="M20" s="50">
        <f t="shared" si="2"/>
        <v>320</v>
      </c>
      <c r="N20" s="64">
        <v>350</v>
      </c>
      <c r="O20" s="94" t="s">
        <v>152</v>
      </c>
      <c r="P20" s="90">
        <v>6.7199999999999996E-2</v>
      </c>
      <c r="Q20" s="86">
        <f t="shared" si="0"/>
        <v>23.52</v>
      </c>
      <c r="R20" s="64"/>
      <c r="S20" s="92"/>
    </row>
    <row r="21" spans="1:19" ht="24.75" thickBot="1" x14ac:dyDescent="0.3">
      <c r="A21" s="1"/>
      <c r="B21" s="55">
        <f>ROW(B21) - ROW($B$9)</f>
        <v>12</v>
      </c>
      <c r="C21" s="53" t="s">
        <v>163</v>
      </c>
      <c r="D21" s="41" t="s">
        <v>21</v>
      </c>
      <c r="E21" s="40" t="s">
        <v>52</v>
      </c>
      <c r="F21" s="68" t="s">
        <v>171</v>
      </c>
      <c r="G21" s="40" t="s">
        <v>76</v>
      </c>
      <c r="H21" s="41" t="s">
        <v>117</v>
      </c>
      <c r="I21" s="40" t="s">
        <v>176</v>
      </c>
      <c r="J21" s="41" t="s">
        <v>172</v>
      </c>
      <c r="K21" s="40" t="s">
        <v>176</v>
      </c>
      <c r="L21" s="41">
        <v>1</v>
      </c>
      <c r="M21" s="40">
        <f t="shared" si="2"/>
        <v>20</v>
      </c>
      <c r="N21" s="41">
        <v>30</v>
      </c>
      <c r="O21" s="80" t="s">
        <v>152</v>
      </c>
      <c r="P21" s="89">
        <v>3.9800000000000002E-2</v>
      </c>
      <c r="Q21" s="85">
        <f t="shared" si="0"/>
        <v>1.194</v>
      </c>
      <c r="R21" s="41"/>
      <c r="S21" s="44"/>
    </row>
    <row r="22" spans="1:19" ht="24.75" thickBot="1" x14ac:dyDescent="0.3">
      <c r="A22" s="1"/>
      <c r="B22" s="55">
        <f t="shared" si="1"/>
        <v>13</v>
      </c>
      <c r="C22" s="62" t="s">
        <v>163</v>
      </c>
      <c r="D22" s="64" t="s">
        <v>22</v>
      </c>
      <c r="E22" s="50" t="s">
        <v>53</v>
      </c>
      <c r="F22" s="64" t="s">
        <v>77</v>
      </c>
      <c r="G22" s="50" t="s">
        <v>104</v>
      </c>
      <c r="H22" s="64" t="s">
        <v>118</v>
      </c>
      <c r="I22" s="50" t="s">
        <v>176</v>
      </c>
      <c r="J22" s="72" t="s">
        <v>173</v>
      </c>
      <c r="K22" s="50" t="s">
        <v>176</v>
      </c>
      <c r="L22" s="64">
        <v>1</v>
      </c>
      <c r="M22" s="50">
        <f t="shared" si="2"/>
        <v>20</v>
      </c>
      <c r="N22" s="64">
        <v>30</v>
      </c>
      <c r="O22" s="81" t="s">
        <v>152</v>
      </c>
      <c r="P22" s="90">
        <v>3.1800000000000002E-2</v>
      </c>
      <c r="Q22" s="86">
        <f t="shared" si="0"/>
        <v>0.95400000000000007</v>
      </c>
      <c r="R22" s="64"/>
      <c r="S22" s="92"/>
    </row>
    <row r="23" spans="1:19" ht="15.75" thickBot="1" x14ac:dyDescent="0.3">
      <c r="A23" s="1"/>
      <c r="B23" s="55">
        <f>ROW(B23) - ROW($B$9)</f>
        <v>14</v>
      </c>
      <c r="C23" s="53" t="s">
        <v>164</v>
      </c>
      <c r="D23" s="41" t="s">
        <v>23</v>
      </c>
      <c r="E23" s="40" t="s">
        <v>54</v>
      </c>
      <c r="F23" s="41" t="s">
        <v>78</v>
      </c>
      <c r="G23" s="95" t="s">
        <v>105</v>
      </c>
      <c r="H23" s="41" t="s">
        <v>119</v>
      </c>
      <c r="I23" s="40" t="s">
        <v>196</v>
      </c>
      <c r="J23" s="73" t="s">
        <v>195</v>
      </c>
      <c r="K23" s="40" t="s">
        <v>176</v>
      </c>
      <c r="L23" s="41">
        <v>1</v>
      </c>
      <c r="M23" s="40">
        <f t="shared" si="2"/>
        <v>20</v>
      </c>
      <c r="N23" s="41">
        <v>40</v>
      </c>
      <c r="O23" s="96" t="s">
        <v>152</v>
      </c>
      <c r="P23" s="89">
        <v>2.5899999999999999E-2</v>
      </c>
      <c r="Q23" s="85">
        <f t="shared" si="0"/>
        <v>1.036</v>
      </c>
      <c r="R23" s="41"/>
      <c r="S23" s="44"/>
    </row>
    <row r="24" spans="1:19" ht="36.75" thickBot="1" x14ac:dyDescent="0.3">
      <c r="A24" s="1"/>
      <c r="B24" s="55">
        <f t="shared" si="1"/>
        <v>15</v>
      </c>
      <c r="C24" s="62" t="s">
        <v>165</v>
      </c>
      <c r="D24" s="64" t="s">
        <v>24</v>
      </c>
      <c r="E24" s="50" t="s">
        <v>55</v>
      </c>
      <c r="F24" s="64" t="s">
        <v>175</v>
      </c>
      <c r="G24" s="50" t="s">
        <v>79</v>
      </c>
      <c r="H24" s="64" t="s">
        <v>120</v>
      </c>
      <c r="I24" s="50" t="s">
        <v>176</v>
      </c>
      <c r="J24" s="74" t="s">
        <v>185</v>
      </c>
      <c r="K24" s="50" t="s">
        <v>176</v>
      </c>
      <c r="L24" s="64">
        <v>1</v>
      </c>
      <c r="M24" s="50">
        <f t="shared" si="2"/>
        <v>20</v>
      </c>
      <c r="N24" s="64">
        <v>30</v>
      </c>
      <c r="O24" s="82" t="s">
        <v>152</v>
      </c>
      <c r="P24" s="90">
        <v>5.5599999999999997E-2</v>
      </c>
      <c r="Q24" s="86">
        <f t="shared" si="0"/>
        <v>1.6679999999999999</v>
      </c>
      <c r="R24" s="64"/>
      <c r="S24" s="92"/>
    </row>
    <row r="25" spans="1:19" ht="24.75" thickBot="1" x14ac:dyDescent="0.3">
      <c r="A25" s="1"/>
      <c r="B25" s="55">
        <f>ROW(B25) - ROW($B$9)</f>
        <v>16</v>
      </c>
      <c r="C25" s="129" t="s">
        <v>8</v>
      </c>
      <c r="D25" s="130" t="s">
        <v>25</v>
      </c>
      <c r="E25" s="108" t="s">
        <v>56</v>
      </c>
      <c r="F25" s="130" t="s">
        <v>175</v>
      </c>
      <c r="G25" s="108" t="s">
        <v>80</v>
      </c>
      <c r="H25" s="130" t="s">
        <v>121</v>
      </c>
      <c r="I25" s="108" t="s">
        <v>176</v>
      </c>
      <c r="J25" s="130" t="s">
        <v>176</v>
      </c>
      <c r="K25" s="108" t="s">
        <v>176</v>
      </c>
      <c r="L25" s="130">
        <v>8</v>
      </c>
      <c r="M25" s="108">
        <f t="shared" si="2"/>
        <v>160</v>
      </c>
      <c r="N25" s="130">
        <v>200</v>
      </c>
      <c r="O25" s="96" t="s">
        <v>211</v>
      </c>
      <c r="P25" s="131">
        <v>2</v>
      </c>
      <c r="Q25" s="132">
        <f t="shared" si="0"/>
        <v>400</v>
      </c>
      <c r="R25" s="126" t="s">
        <v>214</v>
      </c>
      <c r="S25" s="44"/>
    </row>
    <row r="26" spans="1:19" ht="15.75" thickBot="1" x14ac:dyDescent="0.3">
      <c r="A26" s="1"/>
      <c r="B26" s="55">
        <f t="shared" si="1"/>
        <v>17</v>
      </c>
      <c r="C26" s="62" t="s">
        <v>164</v>
      </c>
      <c r="D26" s="64" t="s">
        <v>26</v>
      </c>
      <c r="E26" s="50" t="s">
        <v>57</v>
      </c>
      <c r="F26" s="64" t="s">
        <v>81</v>
      </c>
      <c r="G26" s="97">
        <v>61300611121</v>
      </c>
      <c r="H26" s="64" t="s">
        <v>122</v>
      </c>
      <c r="I26" s="50" t="s">
        <v>197</v>
      </c>
      <c r="J26" s="72" t="s">
        <v>197</v>
      </c>
      <c r="K26" s="50" t="s">
        <v>176</v>
      </c>
      <c r="L26" s="64">
        <v>1</v>
      </c>
      <c r="M26" s="50">
        <f t="shared" si="2"/>
        <v>20</v>
      </c>
      <c r="N26" s="64">
        <v>40</v>
      </c>
      <c r="O26" s="94" t="s">
        <v>152</v>
      </c>
      <c r="P26" s="90">
        <v>2.7900000000000001E-2</v>
      </c>
      <c r="Q26" s="86">
        <f t="shared" si="0"/>
        <v>1.1160000000000001</v>
      </c>
      <c r="R26" s="64"/>
      <c r="S26" s="92"/>
    </row>
    <row r="27" spans="1:19" ht="15.75" thickBot="1" x14ac:dyDescent="0.3">
      <c r="A27" s="1"/>
      <c r="B27" s="55">
        <f>ROW(B27) - ROW($B$9)</f>
        <v>18</v>
      </c>
      <c r="C27" s="53" t="s">
        <v>166</v>
      </c>
      <c r="D27" s="41" t="s">
        <v>27</v>
      </c>
      <c r="E27" s="40" t="s">
        <v>58</v>
      </c>
      <c r="F27" s="41" t="s">
        <v>82</v>
      </c>
      <c r="G27" s="95" t="s">
        <v>106</v>
      </c>
      <c r="H27" s="41" t="s">
        <v>119</v>
      </c>
      <c r="I27" s="70" t="s">
        <v>182</v>
      </c>
      <c r="J27" s="75" t="s">
        <v>181</v>
      </c>
      <c r="K27" s="40" t="s">
        <v>141</v>
      </c>
      <c r="L27" s="41">
        <v>3</v>
      </c>
      <c r="M27" s="40">
        <f t="shared" si="2"/>
        <v>60</v>
      </c>
      <c r="N27" s="41">
        <v>100</v>
      </c>
      <c r="O27" s="96" t="s">
        <v>152</v>
      </c>
      <c r="P27" s="89">
        <v>6.9999999999999999E-4</v>
      </c>
      <c r="Q27" s="85">
        <f t="shared" si="0"/>
        <v>6.9999999999999993E-2</v>
      </c>
      <c r="R27" s="41"/>
      <c r="S27" s="44"/>
    </row>
    <row r="28" spans="1:19" ht="15.75" thickBot="1" x14ac:dyDescent="0.3">
      <c r="A28" s="1"/>
      <c r="B28" s="55">
        <f t="shared" si="1"/>
        <v>19</v>
      </c>
      <c r="C28" s="62" t="s">
        <v>166</v>
      </c>
      <c r="D28" s="64" t="s">
        <v>28</v>
      </c>
      <c r="E28" s="50" t="s">
        <v>59</v>
      </c>
      <c r="F28" s="64" t="s">
        <v>82</v>
      </c>
      <c r="G28" s="50" t="s">
        <v>107</v>
      </c>
      <c r="H28" s="64" t="s">
        <v>114</v>
      </c>
      <c r="I28" s="50" t="s">
        <v>176</v>
      </c>
      <c r="J28" s="72" t="s">
        <v>183</v>
      </c>
      <c r="K28" s="50" t="s">
        <v>142</v>
      </c>
      <c r="L28" s="64">
        <v>3</v>
      </c>
      <c r="M28" s="50">
        <f t="shared" si="2"/>
        <v>60</v>
      </c>
      <c r="N28" s="64">
        <v>100</v>
      </c>
      <c r="O28" s="83" t="s">
        <v>152</v>
      </c>
      <c r="P28" s="90">
        <v>1E-3</v>
      </c>
      <c r="Q28" s="86">
        <f t="shared" si="0"/>
        <v>0.1</v>
      </c>
      <c r="R28" s="64"/>
      <c r="S28" s="92"/>
    </row>
    <row r="29" spans="1:19" ht="15.75" thickBot="1" x14ac:dyDescent="0.3">
      <c r="A29" s="1"/>
      <c r="B29" s="55">
        <f>ROW(B29) - ROW($B$9)</f>
        <v>20</v>
      </c>
      <c r="C29" s="53" t="s">
        <v>166</v>
      </c>
      <c r="D29" s="41" t="s">
        <v>29</v>
      </c>
      <c r="E29" s="40" t="s">
        <v>60</v>
      </c>
      <c r="F29" s="41" t="s">
        <v>82</v>
      </c>
      <c r="G29" s="40" t="s">
        <v>108</v>
      </c>
      <c r="H29" s="41" t="s">
        <v>114</v>
      </c>
      <c r="I29" s="40" t="s">
        <v>176</v>
      </c>
      <c r="J29" s="75" t="s">
        <v>184</v>
      </c>
      <c r="K29" s="40" t="s">
        <v>143</v>
      </c>
      <c r="L29" s="41">
        <v>2</v>
      </c>
      <c r="M29" s="40">
        <f t="shared" si="2"/>
        <v>40</v>
      </c>
      <c r="N29" s="41">
        <v>100</v>
      </c>
      <c r="O29" s="84" t="s">
        <v>152</v>
      </c>
      <c r="P29" s="89">
        <v>1E-3</v>
      </c>
      <c r="Q29" s="85">
        <f t="shared" si="0"/>
        <v>0.1</v>
      </c>
      <c r="R29" s="41"/>
      <c r="S29" s="44"/>
    </row>
    <row r="30" spans="1:19" ht="15.75" thickBot="1" x14ac:dyDescent="0.3">
      <c r="A30" s="1"/>
      <c r="B30" s="55">
        <f t="shared" si="1"/>
        <v>21</v>
      </c>
      <c r="C30" s="62" t="s">
        <v>166</v>
      </c>
      <c r="D30" s="64" t="s">
        <v>30</v>
      </c>
      <c r="E30" s="50" t="s">
        <v>61</v>
      </c>
      <c r="F30" s="64" t="s">
        <v>82</v>
      </c>
      <c r="G30" s="50" t="s">
        <v>109</v>
      </c>
      <c r="H30" s="64" t="s">
        <v>114</v>
      </c>
      <c r="I30" s="50" t="s">
        <v>176</v>
      </c>
      <c r="J30" s="72" t="s">
        <v>198</v>
      </c>
      <c r="K30" s="50" t="s">
        <v>144</v>
      </c>
      <c r="L30" s="64">
        <v>1</v>
      </c>
      <c r="M30" s="50">
        <f t="shared" si="2"/>
        <v>20</v>
      </c>
      <c r="N30" s="64">
        <v>100</v>
      </c>
      <c r="O30" s="94" t="s">
        <v>152</v>
      </c>
      <c r="P30" s="90">
        <v>1E-3</v>
      </c>
      <c r="Q30" s="86">
        <f t="shared" si="0"/>
        <v>0.1</v>
      </c>
      <c r="R30" s="64"/>
      <c r="S30" s="92"/>
    </row>
    <row r="31" spans="1:19" ht="108.75" thickBot="1" x14ac:dyDescent="0.3">
      <c r="A31" s="1"/>
      <c r="B31" s="55">
        <f>ROW(B31) - ROW($B$9)</f>
        <v>22</v>
      </c>
      <c r="C31" s="53" t="s">
        <v>167</v>
      </c>
      <c r="D31" s="41" t="s">
        <v>31</v>
      </c>
      <c r="E31" s="40" t="s">
        <v>62</v>
      </c>
      <c r="F31" s="41" t="s">
        <v>175</v>
      </c>
      <c r="G31" s="40" t="s">
        <v>83</v>
      </c>
      <c r="H31" s="41" t="s">
        <v>176</v>
      </c>
      <c r="I31" s="40" t="s">
        <v>176</v>
      </c>
      <c r="J31" s="41" t="s">
        <v>176</v>
      </c>
      <c r="K31" s="40" t="s">
        <v>176</v>
      </c>
      <c r="L31" s="41">
        <v>48</v>
      </c>
      <c r="M31" s="40">
        <f t="shared" si="2"/>
        <v>960</v>
      </c>
      <c r="N31" s="41" t="s">
        <v>176</v>
      </c>
      <c r="O31" s="51" t="s">
        <v>176</v>
      </c>
      <c r="P31" s="89" t="s">
        <v>176</v>
      </c>
      <c r="Q31" s="85" t="s">
        <v>176</v>
      </c>
      <c r="R31" s="41" t="s">
        <v>176</v>
      </c>
      <c r="S31" s="54" t="s">
        <v>176</v>
      </c>
    </row>
    <row r="32" spans="1:19" ht="36.75" thickBot="1" x14ac:dyDescent="0.3">
      <c r="A32" s="1"/>
      <c r="B32" s="55">
        <f t="shared" si="1"/>
        <v>23</v>
      </c>
      <c r="C32" s="62" t="s">
        <v>168</v>
      </c>
      <c r="D32" s="64" t="s">
        <v>32</v>
      </c>
      <c r="E32" s="50" t="s">
        <v>63</v>
      </c>
      <c r="F32" s="64" t="s">
        <v>175</v>
      </c>
      <c r="G32" s="69" t="s">
        <v>84</v>
      </c>
      <c r="H32" s="64" t="s">
        <v>120</v>
      </c>
      <c r="I32" s="50" t="s">
        <v>176</v>
      </c>
      <c r="J32" s="72" t="s">
        <v>174</v>
      </c>
      <c r="K32" s="50" t="s">
        <v>176</v>
      </c>
      <c r="L32" s="64">
        <v>1</v>
      </c>
      <c r="M32" s="50">
        <f t="shared" si="2"/>
        <v>20</v>
      </c>
      <c r="N32" s="64">
        <v>30</v>
      </c>
      <c r="O32" s="94" t="s">
        <v>152</v>
      </c>
      <c r="P32" s="90">
        <v>5.8200000000000002E-2</v>
      </c>
      <c r="Q32" s="86">
        <f t="shared" ref="Q32:Q39" si="3">P32*N32</f>
        <v>1.746</v>
      </c>
      <c r="R32" s="64"/>
      <c r="S32" s="92"/>
    </row>
    <row r="33" spans="1:19" ht="15.75" thickBot="1" x14ac:dyDescent="0.3">
      <c r="A33" s="1"/>
      <c r="B33" s="55">
        <f>ROW(B33) - ROW($B$9)</f>
        <v>24</v>
      </c>
      <c r="C33" s="53" t="s">
        <v>9</v>
      </c>
      <c r="D33" s="41" t="s">
        <v>33</v>
      </c>
      <c r="E33" s="40" t="s">
        <v>64</v>
      </c>
      <c r="F33" s="41" t="s">
        <v>175</v>
      </c>
      <c r="G33" s="40" t="s">
        <v>85</v>
      </c>
      <c r="H33" s="41" t="s">
        <v>123</v>
      </c>
      <c r="I33" s="40" t="s">
        <v>176</v>
      </c>
      <c r="J33" s="41" t="s">
        <v>130</v>
      </c>
      <c r="K33" s="40" t="s">
        <v>176</v>
      </c>
      <c r="L33" s="41">
        <v>1</v>
      </c>
      <c r="M33" s="40">
        <f t="shared" si="2"/>
        <v>20</v>
      </c>
      <c r="N33" s="41">
        <v>22</v>
      </c>
      <c r="O33" s="80" t="s">
        <v>152</v>
      </c>
      <c r="P33" s="89">
        <v>3.99</v>
      </c>
      <c r="Q33" s="85">
        <f t="shared" si="3"/>
        <v>87.78</v>
      </c>
      <c r="R33" s="41"/>
      <c r="S33" s="44"/>
    </row>
    <row r="34" spans="1:19" ht="24.75" thickBot="1" x14ac:dyDescent="0.3">
      <c r="A34" s="1"/>
      <c r="B34" s="55">
        <f t="shared" si="1"/>
        <v>25</v>
      </c>
      <c r="C34" s="62" t="s">
        <v>169</v>
      </c>
      <c r="D34" s="64" t="s">
        <v>34</v>
      </c>
      <c r="E34" s="50" t="s">
        <v>65</v>
      </c>
      <c r="F34" s="64" t="s">
        <v>86</v>
      </c>
      <c r="G34" s="50" t="s">
        <v>110</v>
      </c>
      <c r="H34" s="64" t="s">
        <v>124</v>
      </c>
      <c r="I34" s="50" t="s">
        <v>176</v>
      </c>
      <c r="J34" s="76" t="s">
        <v>179</v>
      </c>
      <c r="K34" s="50" t="s">
        <v>176</v>
      </c>
      <c r="L34" s="64">
        <v>1</v>
      </c>
      <c r="M34" s="50">
        <f t="shared" si="2"/>
        <v>20</v>
      </c>
      <c r="N34" s="64">
        <v>22</v>
      </c>
      <c r="O34" s="94" t="s">
        <v>152</v>
      </c>
      <c r="P34" s="90">
        <v>0.42</v>
      </c>
      <c r="Q34" s="86">
        <f t="shared" si="3"/>
        <v>9.24</v>
      </c>
      <c r="R34" s="64"/>
      <c r="S34" s="92"/>
    </row>
    <row r="35" spans="1:19" ht="15.75" thickBot="1" x14ac:dyDescent="0.3">
      <c r="A35" s="1"/>
      <c r="B35" s="55">
        <f>ROW(B35) - ROW($B$9)</f>
        <v>26</v>
      </c>
      <c r="C35" s="129" t="s">
        <v>169</v>
      </c>
      <c r="D35" s="130" t="s">
        <v>35</v>
      </c>
      <c r="E35" s="108" t="s">
        <v>66</v>
      </c>
      <c r="F35" s="130" t="s">
        <v>87</v>
      </c>
      <c r="G35" s="108" t="s">
        <v>111</v>
      </c>
      <c r="H35" s="130" t="s">
        <v>118</v>
      </c>
      <c r="I35" s="108" t="s">
        <v>176</v>
      </c>
      <c r="J35" s="130" t="s">
        <v>176</v>
      </c>
      <c r="K35" s="108" t="s">
        <v>176</v>
      </c>
      <c r="L35" s="130">
        <v>1</v>
      </c>
      <c r="M35" s="108">
        <f t="shared" si="2"/>
        <v>20</v>
      </c>
      <c r="N35" s="130">
        <v>22</v>
      </c>
      <c r="O35" s="80" t="s">
        <v>211</v>
      </c>
      <c r="P35" s="131">
        <v>18.649999999999999</v>
      </c>
      <c r="Q35" s="132">
        <f t="shared" si="3"/>
        <v>410.29999999999995</v>
      </c>
      <c r="R35" s="126" t="s">
        <v>214</v>
      </c>
      <c r="S35" s="44"/>
    </row>
    <row r="36" spans="1:19" ht="15.75" thickBot="1" x14ac:dyDescent="0.3">
      <c r="A36" s="1"/>
      <c r="B36" s="55">
        <f t="shared" si="1"/>
        <v>27</v>
      </c>
      <c r="C36" s="62" t="s">
        <v>169</v>
      </c>
      <c r="D36" s="64" t="s">
        <v>36</v>
      </c>
      <c r="E36" s="50" t="s">
        <v>67</v>
      </c>
      <c r="F36" s="64" t="s">
        <v>186</v>
      </c>
      <c r="G36" s="50" t="s">
        <v>88</v>
      </c>
      <c r="H36" s="64" t="s">
        <v>118</v>
      </c>
      <c r="I36" s="50" t="s">
        <v>176</v>
      </c>
      <c r="J36" s="72" t="s">
        <v>199</v>
      </c>
      <c r="K36" s="50" t="s">
        <v>176</v>
      </c>
      <c r="L36" s="64">
        <v>2</v>
      </c>
      <c r="M36" s="50">
        <f t="shared" si="2"/>
        <v>40</v>
      </c>
      <c r="N36" s="64">
        <v>44</v>
      </c>
      <c r="O36" s="133" t="s">
        <v>152</v>
      </c>
      <c r="P36" s="90">
        <v>3.2374999999999998</v>
      </c>
      <c r="Q36" s="134">
        <f t="shared" si="3"/>
        <v>142.44999999999999</v>
      </c>
      <c r="R36" s="64"/>
      <c r="S36" s="92"/>
    </row>
    <row r="37" spans="1:19" ht="36.75" thickBot="1" x14ac:dyDescent="0.3">
      <c r="A37" s="1"/>
      <c r="B37" s="55">
        <f>ROW(B37) - ROW($B$9)</f>
        <v>28</v>
      </c>
      <c r="C37" s="53" t="s">
        <v>169</v>
      </c>
      <c r="D37" s="41" t="s">
        <v>37</v>
      </c>
      <c r="E37" s="40" t="s">
        <v>68</v>
      </c>
      <c r="F37" s="41" t="s">
        <v>200</v>
      </c>
      <c r="G37" s="40" t="s">
        <v>89</v>
      </c>
      <c r="H37" s="41" t="s">
        <v>125</v>
      </c>
      <c r="I37" s="40" t="s">
        <v>176</v>
      </c>
      <c r="J37" s="77" t="s">
        <v>180</v>
      </c>
      <c r="K37" s="40" t="s">
        <v>176</v>
      </c>
      <c r="L37" s="41">
        <v>1</v>
      </c>
      <c r="M37" s="40">
        <f t="shared" si="2"/>
        <v>20</v>
      </c>
      <c r="N37" s="41">
        <v>30</v>
      </c>
      <c r="O37" s="80" t="s">
        <v>152</v>
      </c>
      <c r="P37" s="89">
        <v>5.67E-2</v>
      </c>
      <c r="Q37" s="85">
        <f t="shared" si="3"/>
        <v>1.7010000000000001</v>
      </c>
      <c r="R37" s="41"/>
      <c r="S37" s="44"/>
    </row>
    <row r="38" spans="1:19" ht="36.75" thickBot="1" x14ac:dyDescent="0.3">
      <c r="A38" s="1"/>
      <c r="B38" s="55">
        <f t="shared" si="1"/>
        <v>29</v>
      </c>
      <c r="C38" s="62" t="s">
        <v>170</v>
      </c>
      <c r="D38" s="64" t="s">
        <v>38</v>
      </c>
      <c r="E38" s="50" t="s">
        <v>69</v>
      </c>
      <c r="F38" s="64" t="s">
        <v>175</v>
      </c>
      <c r="G38" s="50" t="s">
        <v>90</v>
      </c>
      <c r="H38" s="64" t="s">
        <v>126</v>
      </c>
      <c r="I38" s="50" t="s">
        <v>176</v>
      </c>
      <c r="J38" s="78" t="s">
        <v>177</v>
      </c>
      <c r="K38" s="50" t="s">
        <v>187</v>
      </c>
      <c r="L38" s="64">
        <v>1</v>
      </c>
      <c r="M38" s="50">
        <f t="shared" si="2"/>
        <v>20</v>
      </c>
      <c r="N38" s="64">
        <v>22</v>
      </c>
      <c r="O38" s="94" t="s">
        <v>152</v>
      </c>
      <c r="P38" s="90">
        <v>0.15179999999999999</v>
      </c>
      <c r="Q38" s="86">
        <f t="shared" si="3"/>
        <v>3.3395999999999999</v>
      </c>
      <c r="R38" s="64"/>
      <c r="S38" s="92"/>
    </row>
    <row r="39" spans="1:19" ht="36.75" thickBot="1" x14ac:dyDescent="0.3">
      <c r="A39" s="1"/>
      <c r="B39" s="55">
        <f>ROW(B39) - ROW($B$9)</f>
        <v>30</v>
      </c>
      <c r="C39" s="63" t="s">
        <v>170</v>
      </c>
      <c r="D39" s="67" t="s">
        <v>39</v>
      </c>
      <c r="E39" s="65" t="s">
        <v>70</v>
      </c>
      <c r="F39" s="67" t="s">
        <v>175</v>
      </c>
      <c r="G39" s="65" t="s">
        <v>91</v>
      </c>
      <c r="H39" s="67" t="s">
        <v>127</v>
      </c>
      <c r="I39" s="65" t="s">
        <v>176</v>
      </c>
      <c r="J39" s="79" t="s">
        <v>178</v>
      </c>
      <c r="K39" s="65" t="s">
        <v>188</v>
      </c>
      <c r="L39" s="67">
        <v>2</v>
      </c>
      <c r="M39" s="65">
        <f t="shared" si="2"/>
        <v>40</v>
      </c>
      <c r="N39" s="67">
        <v>45</v>
      </c>
      <c r="O39" s="107" t="s">
        <v>152</v>
      </c>
      <c r="P39" s="91">
        <v>7.4099999999999999E-2</v>
      </c>
      <c r="Q39" s="87">
        <f t="shared" si="3"/>
        <v>3.3344999999999998</v>
      </c>
      <c r="R39" s="67"/>
      <c r="S39" s="93"/>
    </row>
    <row r="40" spans="1:19" ht="19.5" thickBot="1" x14ac:dyDescent="0.3">
      <c r="A40" s="1"/>
      <c r="B40" s="66"/>
      <c r="C40" s="56"/>
      <c r="D40" s="57"/>
      <c r="E40" s="58"/>
      <c r="F40" s="59"/>
      <c r="G40" s="60"/>
      <c r="H40" s="59"/>
      <c r="I40" s="60"/>
      <c r="J40" s="59"/>
      <c r="K40" s="60"/>
      <c r="L40" s="60"/>
      <c r="M40" s="60"/>
      <c r="N40" s="149" t="s">
        <v>209</v>
      </c>
      <c r="O40" s="150"/>
      <c r="P40" s="150"/>
      <c r="Q40" s="124">
        <f>SUM(Q10:Q39)</f>
        <v>1169.7855999999999</v>
      </c>
      <c r="R40" s="145"/>
      <c r="S40" s="146"/>
    </row>
    <row r="41" spans="1:19" ht="19.5" thickBot="1" x14ac:dyDescent="0.3">
      <c r="A41" s="1"/>
      <c r="B41" s="25"/>
      <c r="C41" s="37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49" t="s">
        <v>210</v>
      </c>
      <c r="O41" s="150"/>
      <c r="P41" s="150"/>
      <c r="Q41" s="125">
        <f>Q40/20</f>
        <v>58.489279999999994</v>
      </c>
      <c r="R41" s="147"/>
      <c r="S41" s="148"/>
    </row>
  </sheetData>
  <mergeCells count="5">
    <mergeCell ref="K1:S1"/>
    <mergeCell ref="S3:S8"/>
    <mergeCell ref="R40:S41"/>
    <mergeCell ref="N40:P40"/>
    <mergeCell ref="N41:P41"/>
  </mergeCells>
  <conditionalFormatting sqref="O13 O31 O33 O15 O17 O19 O3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{ED99ED7E-35C0-45AB-BCC7-493AF1327BC4}</x14:id>
        </ext>
      </extLst>
    </cfRule>
  </conditionalFormatting>
  <conditionalFormatting sqref="O21:O2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{5E155581-B981-4F73-BB54-C6503AC77979}</x14:id>
        </ext>
      </extLst>
    </cfRule>
  </conditionalFormatting>
  <conditionalFormatting sqref="O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{AB0B9876-C6A1-4324-A576-5608B85CEC4D}</x14:id>
        </ext>
      </extLst>
    </cfRule>
  </conditionalFormatting>
  <conditionalFormatting sqref="O3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{D9A78439-7DDB-4C6A-9926-411176982741}</x14:id>
        </ext>
      </extLst>
    </cfRule>
  </conditionalFormatting>
  <conditionalFormatting sqref="O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{21F0046B-FB0A-43E7-BD04-CB1A75603CD6}</x14:id>
        </ext>
      </extLst>
    </cfRule>
  </conditionalFormatting>
  <hyperlinks>
    <hyperlink ref="O10" r:id="rId1" xr:uid="{80CC6D0E-83EF-46F8-8EC5-5D4DCED9287A}"/>
    <hyperlink ref="O11" r:id="rId2" xr:uid="{9D5C2441-3E98-4BFF-89B0-9BA851223494}"/>
    <hyperlink ref="O12" r:id="rId3" xr:uid="{D95F63E4-97EB-4A14-8B4E-1C24F3B49E79}"/>
    <hyperlink ref="O14" r:id="rId4" xr:uid="{866C7911-6882-4ABD-80BE-C44B2EEA7B41}"/>
    <hyperlink ref="O15" r:id="rId5" xr:uid="{607EF548-AEC9-4A4F-B6F7-8AE14F01B220}"/>
    <hyperlink ref="O16" r:id="rId6" xr:uid="{0FEB7E8F-8568-4F5F-A8D9-90FC20AAA7DE}"/>
    <hyperlink ref="O17" r:id="rId7" xr:uid="{9E56E2F7-686D-4BF1-88DF-18D62D24419C}"/>
    <hyperlink ref="O19" r:id="rId8" xr:uid="{370E0BF0-6EE2-47F1-8B23-CFE2A296C013}"/>
    <hyperlink ref="O21" r:id="rId9" xr:uid="{1815542B-8C3E-4707-8EC6-C60B4F610A4D}"/>
    <hyperlink ref="O22" r:id="rId10" xr:uid="{925153C9-0063-431E-9999-CD98EC2C64DE}"/>
    <hyperlink ref="O38" r:id="rId11" xr:uid="{6194368A-994D-41FD-928F-925B5F8DE16A}"/>
    <hyperlink ref="O39" r:id="rId12" xr:uid="{F9E85130-10F3-4443-BF27-2A50E4E82A3A}"/>
    <hyperlink ref="O34" r:id="rId13" xr:uid="{469BF518-0FCF-4F9A-82C7-F78AF6F3D8A9}"/>
    <hyperlink ref="O37" r:id="rId14" xr:uid="{343E5276-16AC-4B1A-ADF1-777EDE050C75}"/>
    <hyperlink ref="O27" r:id="rId15" xr:uid="{559F70E4-7600-4375-AA1B-57F55750C1B2}"/>
    <hyperlink ref="O28" r:id="rId16" xr:uid="{3AF7C885-12F4-4553-9C6E-2E17176308F0}"/>
    <hyperlink ref="O29" r:id="rId17" xr:uid="{C5A94CF8-2059-431F-9623-4E235C9A0C72}"/>
    <hyperlink ref="O13" r:id="rId18" xr:uid="{B44BE963-62F5-4126-9B98-BDCC5E476806}"/>
    <hyperlink ref="O18" r:id="rId19" xr:uid="{15828A71-9651-46D4-A30A-854F0617E72C}"/>
    <hyperlink ref="O20" r:id="rId20" xr:uid="{1C1A7EE1-F058-4A8F-8893-498AC1FA5A38}"/>
    <hyperlink ref="O23" r:id="rId21" xr:uid="{BFF3CC04-6147-43F1-AE4B-8229B0B51BDA}"/>
    <hyperlink ref="O24" r:id="rId22" xr:uid="{D9C08B57-F219-409D-B2BE-0EA3912A94B1}"/>
    <hyperlink ref="O26" r:id="rId23" xr:uid="{DB5E0E94-26B7-43C4-A4C0-FAFE8D329CBD}"/>
    <hyperlink ref="O30" r:id="rId24" xr:uid="{2707A1DA-4311-46AF-A400-4C0E55074A4E}"/>
    <hyperlink ref="O32" r:id="rId25" xr:uid="{CF4416B6-A842-4C64-80C7-9889A5BAC904}"/>
    <hyperlink ref="O33" r:id="rId26" xr:uid="{03613E43-5C57-4130-ABED-BEA7E7734257}"/>
    <hyperlink ref="O36" r:id="rId27" xr:uid="{D347BB64-5BCA-44B4-B459-C2E8C894FA08}"/>
  </hyperlinks>
  <pageMargins left="0.7" right="0.7" top="0.75" bottom="0.75" header="0.3" footer="0.3"/>
  <pageSetup paperSize="9" orientation="portrait" r:id="rId28"/>
  <drawing r:id="rId2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99ED7E-35C0-45AB-BCC7-493AF1327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 O31 O33 O15 O17 O19 O35</xm:sqref>
        </x14:conditionalFormatting>
        <x14:conditionalFormatting xmlns:xm="http://schemas.microsoft.com/office/excel/2006/main">
          <x14:cfRule type="dataBar" id="{5E155581-B981-4F73-BB54-C6503AC779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AB0B9876-C6A1-4324-A576-5608B85CEC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D9A78439-7DDB-4C6A-9926-4111769827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21F0046B-FB0A-43E7-BD04-CB1A75603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2E35-1BDF-4DFF-9BFC-645AE3AAA1FF}">
  <dimension ref="A1:S43"/>
  <sheetViews>
    <sheetView topLeftCell="A30" workbookViewId="0">
      <selection activeCell="A36" sqref="A36"/>
    </sheetView>
  </sheetViews>
  <sheetFormatPr defaultRowHeight="15" x14ac:dyDescent="0.25"/>
  <cols>
    <col min="2" max="2" width="3" bestFit="1" customWidth="1"/>
    <col min="3" max="3" width="14.140625" customWidth="1"/>
    <col min="4" max="4" width="25.85546875" customWidth="1"/>
    <col min="5" max="5" width="27" customWidth="1"/>
    <col min="6" max="6" width="16.42578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15.7109375" bestFit="1" customWidth="1"/>
    <col min="16" max="16" width="21.85546875" bestFit="1" customWidth="1"/>
    <col min="17" max="17" width="22.42578125" bestFit="1" customWidth="1"/>
    <col min="18" max="18" width="11.42578125" customWidth="1"/>
    <col min="19" max="19" width="26.8554687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41"/>
      <c r="L1" s="141"/>
      <c r="M1" s="141"/>
      <c r="N1" s="141"/>
      <c r="O1" s="141"/>
      <c r="P1" s="141"/>
      <c r="Q1" s="141"/>
      <c r="R1" s="141"/>
      <c r="S1" s="142"/>
    </row>
    <row r="2" spans="1:19" ht="32.25" thickBot="1" x14ac:dyDescent="0.3">
      <c r="A2" s="1"/>
      <c r="B2" s="21"/>
      <c r="C2" s="32"/>
      <c r="D2" s="11" t="s">
        <v>0</v>
      </c>
      <c r="E2" s="11"/>
      <c r="F2" s="45" t="s">
        <v>160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3"/>
      <c r="D3" s="13" t="s">
        <v>1</v>
      </c>
      <c r="E3" s="13"/>
      <c r="F3" s="46" t="s">
        <v>161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43"/>
    </row>
    <row r="4" spans="1:19" x14ac:dyDescent="0.25">
      <c r="A4" s="1"/>
      <c r="B4" s="22"/>
      <c r="C4" s="33"/>
      <c r="D4" s="13" t="s">
        <v>2</v>
      </c>
      <c r="E4" s="13"/>
      <c r="F4" s="47" t="s">
        <v>161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44"/>
    </row>
    <row r="5" spans="1:19" x14ac:dyDescent="0.25">
      <c r="A5" s="1"/>
      <c r="B5" s="22"/>
      <c r="C5" s="33"/>
      <c r="D5" s="13" t="s">
        <v>3</v>
      </c>
      <c r="E5" s="13"/>
      <c r="F5" s="4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44"/>
    </row>
    <row r="6" spans="1:19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44"/>
    </row>
    <row r="7" spans="1:19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44"/>
    </row>
    <row r="8" spans="1:19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44"/>
    </row>
    <row r="9" spans="1:19" ht="15.75" thickBot="1" x14ac:dyDescent="0.3">
      <c r="A9" s="1"/>
      <c r="B9" s="49" t="s">
        <v>4</v>
      </c>
      <c r="C9" s="30" t="s">
        <v>6</v>
      </c>
      <c r="D9" s="31" t="s">
        <v>10</v>
      </c>
      <c r="E9" s="30" t="s">
        <v>40</v>
      </c>
      <c r="F9" s="31" t="s">
        <v>71</v>
      </c>
      <c r="G9" s="30" t="s">
        <v>92</v>
      </c>
      <c r="H9" s="31" t="s">
        <v>112</v>
      </c>
      <c r="I9" s="30" t="s">
        <v>151</v>
      </c>
      <c r="J9" s="31" t="s">
        <v>128</v>
      </c>
      <c r="K9" s="30" t="s">
        <v>147</v>
      </c>
      <c r="L9" s="31" t="s">
        <v>145</v>
      </c>
      <c r="M9" s="30" t="s">
        <v>201</v>
      </c>
      <c r="N9" s="31" t="s">
        <v>202</v>
      </c>
      <c r="O9" s="30" t="s">
        <v>148</v>
      </c>
      <c r="P9" s="31" t="s">
        <v>203</v>
      </c>
      <c r="Q9" s="30" t="s">
        <v>204</v>
      </c>
      <c r="R9" s="31" t="s">
        <v>149</v>
      </c>
      <c r="S9" s="30" t="s">
        <v>150</v>
      </c>
    </row>
    <row r="10" spans="1:19" ht="15.75" thickBot="1" x14ac:dyDescent="0.3">
      <c r="A10" s="1"/>
      <c r="B10" s="61">
        <f>ROW(B10) - ROW($B$9)</f>
        <v>1</v>
      </c>
      <c r="C10" s="52" t="s">
        <v>7</v>
      </c>
      <c r="D10" s="39" t="s">
        <v>11</v>
      </c>
      <c r="E10" s="38" t="s">
        <v>41</v>
      </c>
      <c r="F10" s="39" t="s">
        <v>72</v>
      </c>
      <c r="G10" s="38" t="s">
        <v>93</v>
      </c>
      <c r="H10" s="39" t="s">
        <v>113</v>
      </c>
      <c r="I10" s="38" t="s">
        <v>176</v>
      </c>
      <c r="J10" s="71" t="s">
        <v>146</v>
      </c>
      <c r="K10" s="38" t="s">
        <v>131</v>
      </c>
      <c r="L10" s="39">
        <v>1</v>
      </c>
      <c r="M10" s="38">
        <f>L10*1000</f>
        <v>1000</v>
      </c>
      <c r="N10" s="39">
        <v>1060</v>
      </c>
      <c r="O10" s="94" t="s">
        <v>152</v>
      </c>
      <c r="P10" s="88">
        <v>1.17E-2</v>
      </c>
      <c r="Q10" s="42">
        <f t="shared" ref="Q10:Q30" si="0">P10*N10</f>
        <v>12.402000000000001</v>
      </c>
      <c r="R10" s="39"/>
      <c r="S10" s="43"/>
    </row>
    <row r="11" spans="1:19" ht="36.75" thickBot="1" x14ac:dyDescent="0.3">
      <c r="A11" s="1"/>
      <c r="B11" s="55">
        <f t="shared" ref="B11:B38" si="1">ROW(B11) - ROW($B$9)</f>
        <v>2</v>
      </c>
      <c r="C11" s="53" t="s">
        <v>7</v>
      </c>
      <c r="D11" s="41" t="s">
        <v>12</v>
      </c>
      <c r="E11" s="40" t="s">
        <v>42</v>
      </c>
      <c r="F11" s="41" t="s">
        <v>72</v>
      </c>
      <c r="G11" s="40" t="s">
        <v>94</v>
      </c>
      <c r="H11" s="41" t="s">
        <v>114</v>
      </c>
      <c r="I11" s="40" t="s">
        <v>176</v>
      </c>
      <c r="J11" s="41" t="s">
        <v>153</v>
      </c>
      <c r="K11" s="40" t="s">
        <v>132</v>
      </c>
      <c r="L11" s="41">
        <v>17</v>
      </c>
      <c r="M11" s="40">
        <f t="shared" ref="M11:M39" si="2">L11*1000</f>
        <v>17000</v>
      </c>
      <c r="N11" s="41">
        <v>17100</v>
      </c>
      <c r="O11" s="80" t="s">
        <v>152</v>
      </c>
      <c r="P11" s="89">
        <v>2.8999999999999998E-3</v>
      </c>
      <c r="Q11" s="85">
        <f t="shared" si="0"/>
        <v>49.589999999999996</v>
      </c>
      <c r="R11" s="41"/>
      <c r="S11" s="44"/>
    </row>
    <row r="12" spans="1:19" s="101" customFormat="1" ht="15.75" thickBot="1" x14ac:dyDescent="0.3">
      <c r="A12" s="98"/>
      <c r="B12" s="55">
        <f>ROW(B12) - ROW($B$9)</f>
        <v>3</v>
      </c>
      <c r="C12" s="62" t="s">
        <v>7</v>
      </c>
      <c r="D12" s="64" t="s">
        <v>13</v>
      </c>
      <c r="E12" s="50" t="s">
        <v>43</v>
      </c>
      <c r="F12" s="64" t="s">
        <v>73</v>
      </c>
      <c r="G12" s="50" t="s">
        <v>95</v>
      </c>
      <c r="H12" s="64" t="s">
        <v>114</v>
      </c>
      <c r="I12" s="50" t="s">
        <v>176</v>
      </c>
      <c r="J12" s="72" t="s">
        <v>154</v>
      </c>
      <c r="K12" s="50" t="s">
        <v>133</v>
      </c>
      <c r="L12" s="64">
        <v>8</v>
      </c>
      <c r="M12" s="50">
        <f t="shared" si="2"/>
        <v>8000</v>
      </c>
      <c r="N12" s="64">
        <v>8100</v>
      </c>
      <c r="O12" s="94" t="s">
        <v>152</v>
      </c>
      <c r="P12" s="90">
        <v>1.6999999999999999E-3</v>
      </c>
      <c r="Q12" s="99">
        <f t="shared" si="0"/>
        <v>13.77</v>
      </c>
      <c r="R12" s="64"/>
      <c r="S12" s="100"/>
    </row>
    <row r="13" spans="1:19" ht="15.75" thickBot="1" x14ac:dyDescent="0.3">
      <c r="A13" s="1"/>
      <c r="B13" s="55">
        <f t="shared" si="1"/>
        <v>4</v>
      </c>
      <c r="C13" s="53" t="s">
        <v>7</v>
      </c>
      <c r="D13" s="41" t="s">
        <v>14</v>
      </c>
      <c r="E13" s="40" t="s">
        <v>44</v>
      </c>
      <c r="F13" s="41" t="s">
        <v>74</v>
      </c>
      <c r="G13" s="40" t="s">
        <v>96</v>
      </c>
      <c r="H13" s="41" t="s">
        <v>115</v>
      </c>
      <c r="I13" s="40" t="s">
        <v>176</v>
      </c>
      <c r="J13" s="41" t="s">
        <v>129</v>
      </c>
      <c r="K13" s="40" t="s">
        <v>134</v>
      </c>
      <c r="L13" s="41">
        <v>2</v>
      </c>
      <c r="M13" s="40">
        <f t="shared" si="2"/>
        <v>2000</v>
      </c>
      <c r="N13" s="41">
        <v>2100</v>
      </c>
      <c r="O13" s="80" t="s">
        <v>152</v>
      </c>
      <c r="P13" s="89">
        <v>1.1661999999999999</v>
      </c>
      <c r="Q13" s="85">
        <f t="shared" si="0"/>
        <v>2449.02</v>
      </c>
      <c r="R13" s="41"/>
      <c r="S13" s="44"/>
    </row>
    <row r="14" spans="1:19" ht="24.75" thickBot="1" x14ac:dyDescent="0.3">
      <c r="A14" s="1"/>
      <c r="B14" s="55">
        <f>ROW(B14) - ROW($B$9)</f>
        <v>5</v>
      </c>
      <c r="C14" s="62" t="s">
        <v>7</v>
      </c>
      <c r="D14" s="64" t="s">
        <v>15</v>
      </c>
      <c r="E14" s="50" t="s">
        <v>45</v>
      </c>
      <c r="F14" s="64" t="s">
        <v>72</v>
      </c>
      <c r="G14" s="50" t="s">
        <v>97</v>
      </c>
      <c r="H14" s="64" t="s">
        <v>114</v>
      </c>
      <c r="I14" s="50" t="s">
        <v>176</v>
      </c>
      <c r="J14" s="72" t="s">
        <v>155</v>
      </c>
      <c r="K14" s="50" t="s">
        <v>135</v>
      </c>
      <c r="L14" s="64">
        <v>12</v>
      </c>
      <c r="M14" s="50">
        <f t="shared" si="2"/>
        <v>12000</v>
      </c>
      <c r="N14" s="64">
        <v>12100</v>
      </c>
      <c r="O14" s="94" t="s">
        <v>152</v>
      </c>
      <c r="P14" s="90">
        <v>3.3999999999999998E-3</v>
      </c>
      <c r="Q14" s="86">
        <f t="shared" si="0"/>
        <v>41.14</v>
      </c>
      <c r="R14" s="64"/>
      <c r="S14" s="92"/>
    </row>
    <row r="15" spans="1:19" s="101" customFormat="1" ht="15.75" thickBot="1" x14ac:dyDescent="0.3">
      <c r="A15" s="98"/>
      <c r="B15" s="55">
        <f t="shared" si="1"/>
        <v>6</v>
      </c>
      <c r="C15" s="53" t="s">
        <v>7</v>
      </c>
      <c r="D15" s="41" t="s">
        <v>16</v>
      </c>
      <c r="E15" s="40" t="s">
        <v>46</v>
      </c>
      <c r="F15" s="41" t="s">
        <v>72</v>
      </c>
      <c r="G15" s="40" t="s">
        <v>98</v>
      </c>
      <c r="H15" s="41" t="s">
        <v>116</v>
      </c>
      <c r="I15" s="40" t="s">
        <v>176</v>
      </c>
      <c r="J15" s="41" t="s">
        <v>156</v>
      </c>
      <c r="K15" s="40" t="s">
        <v>136</v>
      </c>
      <c r="L15" s="41">
        <v>1</v>
      </c>
      <c r="M15" s="40">
        <f t="shared" si="2"/>
        <v>1000</v>
      </c>
      <c r="N15" s="41">
        <v>1050</v>
      </c>
      <c r="O15" s="80" t="s">
        <v>152</v>
      </c>
      <c r="P15" s="89">
        <v>2.12E-2</v>
      </c>
      <c r="Q15" s="102">
        <f t="shared" si="0"/>
        <v>22.26</v>
      </c>
      <c r="R15" s="41"/>
      <c r="S15" s="103"/>
    </row>
    <row r="16" spans="1:19" ht="24.75" thickBot="1" x14ac:dyDescent="0.3">
      <c r="A16" s="1"/>
      <c r="B16" s="55">
        <f>ROW(B16) - ROW($B$9)</f>
        <v>7</v>
      </c>
      <c r="C16" s="62" t="s">
        <v>7</v>
      </c>
      <c r="D16" s="64" t="s">
        <v>17</v>
      </c>
      <c r="E16" s="50" t="s">
        <v>47</v>
      </c>
      <c r="F16" s="64" t="s">
        <v>72</v>
      </c>
      <c r="G16" s="50" t="s">
        <v>99</v>
      </c>
      <c r="H16" s="64" t="s">
        <v>114</v>
      </c>
      <c r="I16" s="50" t="s">
        <v>176</v>
      </c>
      <c r="J16" s="72" t="s">
        <v>157</v>
      </c>
      <c r="K16" s="50" t="s">
        <v>137</v>
      </c>
      <c r="L16" s="64">
        <v>6</v>
      </c>
      <c r="M16" s="50">
        <f t="shared" si="2"/>
        <v>6000</v>
      </c>
      <c r="N16" s="64">
        <v>6100</v>
      </c>
      <c r="O16" s="94" t="s">
        <v>152</v>
      </c>
      <c r="P16" s="90">
        <v>1.8E-3</v>
      </c>
      <c r="Q16" s="86">
        <f t="shared" si="0"/>
        <v>10.98</v>
      </c>
      <c r="R16" s="64"/>
      <c r="S16" s="92"/>
    </row>
    <row r="17" spans="1:19" ht="51.75" thickBot="1" x14ac:dyDescent="0.3">
      <c r="A17" s="1"/>
      <c r="B17" s="55">
        <f t="shared" si="1"/>
        <v>8</v>
      </c>
      <c r="C17" s="53" t="s">
        <v>7</v>
      </c>
      <c r="D17" s="41" t="s">
        <v>18</v>
      </c>
      <c r="E17" s="40" t="s">
        <v>48</v>
      </c>
      <c r="F17" s="41" t="s">
        <v>72</v>
      </c>
      <c r="G17" s="40" t="s">
        <v>100</v>
      </c>
      <c r="H17" s="41" t="s">
        <v>114</v>
      </c>
      <c r="I17" s="40" t="s">
        <v>176</v>
      </c>
      <c r="J17" s="41" t="s">
        <v>158</v>
      </c>
      <c r="K17" s="40" t="s">
        <v>138</v>
      </c>
      <c r="L17" s="41">
        <v>16</v>
      </c>
      <c r="M17" s="40">
        <f t="shared" si="2"/>
        <v>16000</v>
      </c>
      <c r="N17" s="41">
        <v>16100</v>
      </c>
      <c r="O17" s="80" t="s">
        <v>152</v>
      </c>
      <c r="P17" s="89">
        <v>5.8999999999999999E-3</v>
      </c>
      <c r="Q17" s="85">
        <f t="shared" si="0"/>
        <v>94.99</v>
      </c>
      <c r="R17" s="126" t="s">
        <v>218</v>
      </c>
      <c r="S17" s="44"/>
    </row>
    <row r="18" spans="1:19" ht="15.75" thickBot="1" x14ac:dyDescent="0.3">
      <c r="A18" s="1"/>
      <c r="B18" s="55">
        <f>ROW(B18) - ROW($B$9)</f>
        <v>9</v>
      </c>
      <c r="C18" s="62" t="s">
        <v>7</v>
      </c>
      <c r="D18" s="64" t="s">
        <v>159</v>
      </c>
      <c r="E18" s="50" t="s">
        <v>49</v>
      </c>
      <c r="F18" s="64" t="s">
        <v>72</v>
      </c>
      <c r="G18" s="50" t="s">
        <v>101</v>
      </c>
      <c r="H18" s="64" t="s">
        <v>113</v>
      </c>
      <c r="I18" s="50" t="s">
        <v>176</v>
      </c>
      <c r="J18" s="72" t="s">
        <v>193</v>
      </c>
      <c r="K18" s="50" t="s">
        <v>139</v>
      </c>
      <c r="L18" s="64">
        <v>3</v>
      </c>
      <c r="M18" s="50">
        <f t="shared" si="2"/>
        <v>3000</v>
      </c>
      <c r="N18" s="64">
        <v>3100</v>
      </c>
      <c r="O18" s="94" t="s">
        <v>152</v>
      </c>
      <c r="P18" s="90">
        <v>1.55E-2</v>
      </c>
      <c r="Q18" s="86">
        <f t="shared" si="0"/>
        <v>48.05</v>
      </c>
      <c r="R18" s="64"/>
      <c r="S18" s="92"/>
    </row>
    <row r="19" spans="1:19" s="101" customFormat="1" ht="15.75" thickBot="1" x14ac:dyDescent="0.3">
      <c r="A19" s="98"/>
      <c r="B19" s="55">
        <f>ROW(B19) - ROW($B$9)</f>
        <v>10</v>
      </c>
      <c r="C19" s="53" t="s">
        <v>7</v>
      </c>
      <c r="D19" s="41" t="s">
        <v>19</v>
      </c>
      <c r="E19" s="40" t="s">
        <v>50</v>
      </c>
      <c r="F19" s="41" t="s">
        <v>72</v>
      </c>
      <c r="G19" s="40" t="s">
        <v>102</v>
      </c>
      <c r="H19" s="41" t="s">
        <v>114</v>
      </c>
      <c r="I19" s="40" t="s">
        <v>176</v>
      </c>
      <c r="J19" s="41" t="s">
        <v>162</v>
      </c>
      <c r="K19" s="40" t="s">
        <v>140</v>
      </c>
      <c r="L19" s="41">
        <v>1</v>
      </c>
      <c r="M19" s="40">
        <f t="shared" si="2"/>
        <v>1000</v>
      </c>
      <c r="N19" s="41">
        <v>1100</v>
      </c>
      <c r="O19" s="80" t="s">
        <v>152</v>
      </c>
      <c r="P19" s="89">
        <v>2.5000000000000001E-3</v>
      </c>
      <c r="Q19" s="102">
        <f t="shared" si="0"/>
        <v>2.75</v>
      </c>
      <c r="R19" s="41"/>
      <c r="S19" s="103"/>
    </row>
    <row r="20" spans="1:19" ht="51.75" thickBot="1" x14ac:dyDescent="0.3">
      <c r="A20" s="1"/>
      <c r="B20" s="55">
        <f t="shared" si="1"/>
        <v>11</v>
      </c>
      <c r="C20" s="62" t="s">
        <v>7</v>
      </c>
      <c r="D20" s="64" t="s">
        <v>20</v>
      </c>
      <c r="E20" s="50" t="s">
        <v>51</v>
      </c>
      <c r="F20" s="64" t="s">
        <v>75</v>
      </c>
      <c r="G20" s="50" t="s">
        <v>103</v>
      </c>
      <c r="H20" s="64" t="s">
        <v>116</v>
      </c>
      <c r="I20" s="50" t="s">
        <v>176</v>
      </c>
      <c r="J20" s="72" t="s">
        <v>194</v>
      </c>
      <c r="K20" s="50" t="s">
        <v>139</v>
      </c>
      <c r="L20" s="64">
        <v>16</v>
      </c>
      <c r="M20" s="50">
        <f t="shared" si="2"/>
        <v>16000</v>
      </c>
      <c r="N20" s="64">
        <v>16100</v>
      </c>
      <c r="O20" s="94" t="s">
        <v>152</v>
      </c>
      <c r="P20" s="90">
        <v>4.5999999999999999E-2</v>
      </c>
      <c r="Q20" s="86">
        <f t="shared" si="0"/>
        <v>740.6</v>
      </c>
      <c r="R20" s="127" t="s">
        <v>218</v>
      </c>
      <c r="S20" s="92"/>
    </row>
    <row r="21" spans="1:19" s="101" customFormat="1" ht="36.75" thickBot="1" x14ac:dyDescent="0.3">
      <c r="A21" s="98"/>
      <c r="B21" s="55">
        <f>ROW(B21) - ROW($B$9)</f>
        <v>12</v>
      </c>
      <c r="C21" s="53" t="s">
        <v>163</v>
      </c>
      <c r="D21" s="41" t="s">
        <v>21</v>
      </c>
      <c r="E21" s="40" t="s">
        <v>52</v>
      </c>
      <c r="F21" s="68" t="s">
        <v>171</v>
      </c>
      <c r="G21" s="40" t="s">
        <v>76</v>
      </c>
      <c r="H21" s="41" t="s">
        <v>117</v>
      </c>
      <c r="I21" s="40" t="s">
        <v>176</v>
      </c>
      <c r="J21" s="41" t="s">
        <v>172</v>
      </c>
      <c r="K21" s="40" t="s">
        <v>176</v>
      </c>
      <c r="L21" s="41">
        <v>1</v>
      </c>
      <c r="M21" s="40">
        <f t="shared" si="2"/>
        <v>1000</v>
      </c>
      <c r="N21" s="41">
        <v>1050</v>
      </c>
      <c r="O21" s="80" t="s">
        <v>152</v>
      </c>
      <c r="P21" s="89">
        <v>2.8899999999999999E-2</v>
      </c>
      <c r="Q21" s="102">
        <f t="shared" si="0"/>
        <v>30.344999999999999</v>
      </c>
      <c r="R21" s="41"/>
      <c r="S21" s="103"/>
    </row>
    <row r="22" spans="1:19" s="101" customFormat="1" ht="24.75" thickBot="1" x14ac:dyDescent="0.3">
      <c r="A22" s="98"/>
      <c r="B22" s="55">
        <f t="shared" si="1"/>
        <v>13</v>
      </c>
      <c r="C22" s="62" t="s">
        <v>163</v>
      </c>
      <c r="D22" s="64" t="s">
        <v>22</v>
      </c>
      <c r="E22" s="50" t="s">
        <v>53</v>
      </c>
      <c r="F22" s="64" t="s">
        <v>77</v>
      </c>
      <c r="G22" s="50" t="s">
        <v>104</v>
      </c>
      <c r="H22" s="64" t="s">
        <v>118</v>
      </c>
      <c r="I22" s="50" t="s">
        <v>176</v>
      </c>
      <c r="J22" s="72" t="s">
        <v>173</v>
      </c>
      <c r="K22" s="50" t="s">
        <v>176</v>
      </c>
      <c r="L22" s="64">
        <v>1</v>
      </c>
      <c r="M22" s="50">
        <f t="shared" si="2"/>
        <v>1000</v>
      </c>
      <c r="N22" s="64">
        <v>1050</v>
      </c>
      <c r="O22" s="81" t="s">
        <v>152</v>
      </c>
      <c r="P22" s="90">
        <v>2.12E-2</v>
      </c>
      <c r="Q22" s="99">
        <f t="shared" si="0"/>
        <v>22.26</v>
      </c>
      <c r="R22" s="64"/>
      <c r="S22" s="100"/>
    </row>
    <row r="23" spans="1:19" s="101" customFormat="1" ht="15.75" thickBot="1" x14ac:dyDescent="0.3">
      <c r="A23" s="98"/>
      <c r="B23" s="55">
        <f>ROW(B23) - ROW($B$9)</f>
        <v>14</v>
      </c>
      <c r="C23" s="53" t="s">
        <v>164</v>
      </c>
      <c r="D23" s="41" t="s">
        <v>23</v>
      </c>
      <c r="E23" s="40" t="s">
        <v>54</v>
      </c>
      <c r="F23" s="41" t="s">
        <v>78</v>
      </c>
      <c r="G23" s="95" t="s">
        <v>105</v>
      </c>
      <c r="H23" s="41" t="s">
        <v>119</v>
      </c>
      <c r="I23" s="40" t="s">
        <v>196</v>
      </c>
      <c r="J23" s="73" t="s">
        <v>195</v>
      </c>
      <c r="K23" s="40" t="s">
        <v>176</v>
      </c>
      <c r="L23" s="41">
        <v>1</v>
      </c>
      <c r="M23" s="40">
        <f t="shared" si="2"/>
        <v>1000</v>
      </c>
      <c r="N23" s="41">
        <v>1100</v>
      </c>
      <c r="O23" s="96" t="s">
        <v>152</v>
      </c>
      <c r="P23" s="89">
        <v>1.84E-2</v>
      </c>
      <c r="Q23" s="102">
        <f t="shared" si="0"/>
        <v>20.239999999999998</v>
      </c>
      <c r="R23" s="41"/>
      <c r="S23" s="103"/>
    </row>
    <row r="24" spans="1:19" s="101" customFormat="1" ht="36.75" thickBot="1" x14ac:dyDescent="0.3">
      <c r="A24" s="98"/>
      <c r="B24" s="55">
        <f t="shared" si="1"/>
        <v>15</v>
      </c>
      <c r="C24" s="62" t="s">
        <v>165</v>
      </c>
      <c r="D24" s="64" t="s">
        <v>24</v>
      </c>
      <c r="E24" s="50" t="s">
        <v>55</v>
      </c>
      <c r="F24" s="64" t="s">
        <v>175</v>
      </c>
      <c r="G24" s="50" t="s">
        <v>79</v>
      </c>
      <c r="H24" s="64" t="s">
        <v>120</v>
      </c>
      <c r="I24" s="50" t="s">
        <v>176</v>
      </c>
      <c r="J24" s="74" t="s">
        <v>185</v>
      </c>
      <c r="K24" s="50" t="s">
        <v>176</v>
      </c>
      <c r="L24" s="64">
        <v>1</v>
      </c>
      <c r="M24" s="50">
        <f t="shared" si="2"/>
        <v>1000</v>
      </c>
      <c r="N24" s="64">
        <v>1050</v>
      </c>
      <c r="O24" s="82" t="s">
        <v>152</v>
      </c>
      <c r="P24" s="90">
        <v>3.2199999999999999E-2</v>
      </c>
      <c r="Q24" s="99">
        <f t="shared" si="0"/>
        <v>33.81</v>
      </c>
      <c r="R24" s="64"/>
      <c r="S24" s="100"/>
    </row>
    <row r="25" spans="1:19" ht="24.75" thickBot="1" x14ac:dyDescent="0.3">
      <c r="A25" s="1"/>
      <c r="B25" s="55">
        <f>ROW(B25) - ROW($B$9)</f>
        <v>16</v>
      </c>
      <c r="C25" s="53" t="s">
        <v>8</v>
      </c>
      <c r="D25" s="41" t="s">
        <v>25</v>
      </c>
      <c r="E25" s="40" t="s">
        <v>56</v>
      </c>
      <c r="F25" s="41" t="s">
        <v>175</v>
      </c>
      <c r="G25" s="40" t="s">
        <v>80</v>
      </c>
      <c r="H25" s="41" t="s">
        <v>121</v>
      </c>
      <c r="I25" s="40" t="s">
        <v>176</v>
      </c>
      <c r="J25" s="41" t="s">
        <v>176</v>
      </c>
      <c r="K25" s="40" t="s">
        <v>176</v>
      </c>
      <c r="L25" s="41">
        <v>8</v>
      </c>
      <c r="M25" s="40">
        <f t="shared" si="2"/>
        <v>8000</v>
      </c>
      <c r="N25" s="41">
        <v>8100</v>
      </c>
      <c r="O25" s="84" t="s">
        <v>212</v>
      </c>
      <c r="P25" s="89">
        <v>1.2749999999999999</v>
      </c>
      <c r="Q25" s="85">
        <f t="shared" si="0"/>
        <v>10327.5</v>
      </c>
      <c r="R25" s="41"/>
      <c r="S25" s="44"/>
    </row>
    <row r="26" spans="1:19" s="101" customFormat="1" ht="24.75" thickBot="1" x14ac:dyDescent="0.3">
      <c r="A26" s="98"/>
      <c r="B26" s="55">
        <f t="shared" si="1"/>
        <v>17</v>
      </c>
      <c r="C26" s="62" t="s">
        <v>164</v>
      </c>
      <c r="D26" s="64" t="s">
        <v>26</v>
      </c>
      <c r="E26" s="50" t="s">
        <v>57</v>
      </c>
      <c r="F26" s="64" t="s">
        <v>81</v>
      </c>
      <c r="G26" s="97">
        <v>61300611121</v>
      </c>
      <c r="H26" s="64" t="s">
        <v>122</v>
      </c>
      <c r="I26" s="50" t="s">
        <v>197</v>
      </c>
      <c r="J26" s="72" t="s">
        <v>197</v>
      </c>
      <c r="K26" s="50" t="s">
        <v>176</v>
      </c>
      <c r="L26" s="64">
        <v>1</v>
      </c>
      <c r="M26" s="50">
        <f t="shared" si="2"/>
        <v>1000</v>
      </c>
      <c r="N26" s="64">
        <v>1100</v>
      </c>
      <c r="O26" s="94" t="s">
        <v>152</v>
      </c>
      <c r="P26" s="90">
        <v>1.9400000000000001E-2</v>
      </c>
      <c r="Q26" s="99">
        <f t="shared" si="0"/>
        <v>21.34</v>
      </c>
      <c r="R26" s="64"/>
      <c r="S26" s="100"/>
    </row>
    <row r="27" spans="1:19" s="101" customFormat="1" ht="15.75" thickBot="1" x14ac:dyDescent="0.3">
      <c r="A27" s="98"/>
      <c r="B27" s="55">
        <f>ROW(B27) - ROW($B$9)</f>
        <v>18</v>
      </c>
      <c r="C27" s="53" t="s">
        <v>166</v>
      </c>
      <c r="D27" s="41" t="s">
        <v>27</v>
      </c>
      <c r="E27" s="40" t="s">
        <v>58</v>
      </c>
      <c r="F27" s="41" t="s">
        <v>82</v>
      </c>
      <c r="G27" s="95" t="s">
        <v>106</v>
      </c>
      <c r="H27" s="41" t="s">
        <v>119</v>
      </c>
      <c r="I27" s="70" t="s">
        <v>182</v>
      </c>
      <c r="J27" s="75" t="s">
        <v>181</v>
      </c>
      <c r="K27" s="40" t="s">
        <v>141</v>
      </c>
      <c r="L27" s="41">
        <v>3</v>
      </c>
      <c r="M27" s="40">
        <f t="shared" si="2"/>
        <v>3000</v>
      </c>
      <c r="N27" s="41">
        <v>3100</v>
      </c>
      <c r="O27" s="96" t="s">
        <v>152</v>
      </c>
      <c r="P27" s="89">
        <v>6.9999999999999999E-4</v>
      </c>
      <c r="Q27" s="102">
        <f t="shared" si="0"/>
        <v>2.17</v>
      </c>
      <c r="R27" s="41"/>
      <c r="S27" s="103"/>
    </row>
    <row r="28" spans="1:19" s="101" customFormat="1" ht="15.75" thickBot="1" x14ac:dyDescent="0.3">
      <c r="A28" s="98"/>
      <c r="B28" s="55">
        <f t="shared" si="1"/>
        <v>19</v>
      </c>
      <c r="C28" s="62" t="s">
        <v>166</v>
      </c>
      <c r="D28" s="64" t="s">
        <v>28</v>
      </c>
      <c r="E28" s="50" t="s">
        <v>59</v>
      </c>
      <c r="F28" s="64" t="s">
        <v>82</v>
      </c>
      <c r="G28" s="50" t="s">
        <v>107</v>
      </c>
      <c r="H28" s="64" t="s">
        <v>114</v>
      </c>
      <c r="I28" s="50" t="s">
        <v>176</v>
      </c>
      <c r="J28" s="72" t="s">
        <v>183</v>
      </c>
      <c r="K28" s="50" t="s">
        <v>142</v>
      </c>
      <c r="L28" s="64">
        <v>3</v>
      </c>
      <c r="M28" s="50">
        <f t="shared" si="2"/>
        <v>3000</v>
      </c>
      <c r="N28" s="64">
        <v>3100</v>
      </c>
      <c r="O28" s="83" t="s">
        <v>152</v>
      </c>
      <c r="P28" s="90">
        <v>8.0000000000000004E-4</v>
      </c>
      <c r="Q28" s="99">
        <f t="shared" si="0"/>
        <v>2.48</v>
      </c>
      <c r="R28" s="64"/>
      <c r="S28" s="100"/>
    </row>
    <row r="29" spans="1:19" s="101" customFormat="1" ht="24.75" thickBot="1" x14ac:dyDescent="0.3">
      <c r="A29" s="98"/>
      <c r="B29" s="55">
        <f>ROW(B29) - ROW($B$9)</f>
        <v>20</v>
      </c>
      <c r="C29" s="53" t="s">
        <v>166</v>
      </c>
      <c r="D29" s="41" t="s">
        <v>29</v>
      </c>
      <c r="E29" s="40" t="s">
        <v>60</v>
      </c>
      <c r="F29" s="41" t="s">
        <v>82</v>
      </c>
      <c r="G29" s="40" t="s">
        <v>108</v>
      </c>
      <c r="H29" s="41" t="s">
        <v>114</v>
      </c>
      <c r="I29" s="40" t="s">
        <v>176</v>
      </c>
      <c r="J29" s="75" t="s">
        <v>184</v>
      </c>
      <c r="K29" s="40" t="s">
        <v>143</v>
      </c>
      <c r="L29" s="41">
        <v>2</v>
      </c>
      <c r="M29" s="40">
        <f t="shared" si="2"/>
        <v>2000</v>
      </c>
      <c r="N29" s="41">
        <v>2100</v>
      </c>
      <c r="O29" s="84" t="s">
        <v>152</v>
      </c>
      <c r="P29" s="89">
        <v>8.0000000000000004E-4</v>
      </c>
      <c r="Q29" s="102">
        <f t="shared" si="0"/>
        <v>1.6800000000000002</v>
      </c>
      <c r="R29" s="41"/>
      <c r="S29" s="103"/>
    </row>
    <row r="30" spans="1:19" s="101" customFormat="1" ht="15.75" thickBot="1" x14ac:dyDescent="0.3">
      <c r="A30" s="98"/>
      <c r="B30" s="55">
        <f t="shared" si="1"/>
        <v>21</v>
      </c>
      <c r="C30" s="62" t="s">
        <v>166</v>
      </c>
      <c r="D30" s="64" t="s">
        <v>30</v>
      </c>
      <c r="E30" s="50" t="s">
        <v>61</v>
      </c>
      <c r="F30" s="64" t="s">
        <v>82</v>
      </c>
      <c r="G30" s="50" t="s">
        <v>109</v>
      </c>
      <c r="H30" s="64" t="s">
        <v>114</v>
      </c>
      <c r="I30" s="50" t="s">
        <v>176</v>
      </c>
      <c r="J30" s="72" t="s">
        <v>198</v>
      </c>
      <c r="K30" s="50" t="s">
        <v>144</v>
      </c>
      <c r="L30" s="64">
        <v>1</v>
      </c>
      <c r="M30" s="50">
        <f t="shared" si="2"/>
        <v>1000</v>
      </c>
      <c r="N30" s="64">
        <v>1100</v>
      </c>
      <c r="O30" s="94" t="s">
        <v>152</v>
      </c>
      <c r="P30" s="90">
        <v>8.0000000000000004E-4</v>
      </c>
      <c r="Q30" s="99">
        <f t="shared" si="0"/>
        <v>0.88</v>
      </c>
      <c r="R30" s="64"/>
      <c r="S30" s="100"/>
    </row>
    <row r="31" spans="1:19" ht="120.75" thickBot="1" x14ac:dyDescent="0.3">
      <c r="A31" s="1"/>
      <c r="B31" s="55">
        <f>ROW(B31) - ROW($B$9)</f>
        <v>22</v>
      </c>
      <c r="C31" s="53" t="s">
        <v>167</v>
      </c>
      <c r="D31" s="41" t="s">
        <v>31</v>
      </c>
      <c r="E31" s="40" t="s">
        <v>62</v>
      </c>
      <c r="F31" s="41" t="s">
        <v>175</v>
      </c>
      <c r="G31" s="40" t="s">
        <v>83</v>
      </c>
      <c r="H31" s="41" t="s">
        <v>176</v>
      </c>
      <c r="I31" s="40" t="s">
        <v>176</v>
      </c>
      <c r="J31" s="41" t="s">
        <v>176</v>
      </c>
      <c r="K31" s="40" t="s">
        <v>176</v>
      </c>
      <c r="L31" s="41">
        <v>48</v>
      </c>
      <c r="M31" s="40">
        <f t="shared" si="2"/>
        <v>48000</v>
      </c>
      <c r="N31" s="41" t="s">
        <v>176</v>
      </c>
      <c r="O31" s="51" t="s">
        <v>176</v>
      </c>
      <c r="P31" s="89" t="s">
        <v>176</v>
      </c>
      <c r="Q31" s="85" t="s">
        <v>176</v>
      </c>
      <c r="R31" s="41" t="s">
        <v>176</v>
      </c>
      <c r="S31" s="54" t="s">
        <v>176</v>
      </c>
    </row>
    <row r="32" spans="1:19" s="101" customFormat="1" ht="36.75" thickBot="1" x14ac:dyDescent="0.3">
      <c r="A32" s="98"/>
      <c r="B32" s="55">
        <f t="shared" si="1"/>
        <v>23</v>
      </c>
      <c r="C32" s="62" t="s">
        <v>168</v>
      </c>
      <c r="D32" s="64" t="s">
        <v>32</v>
      </c>
      <c r="E32" s="50" t="s">
        <v>63</v>
      </c>
      <c r="F32" s="64" t="s">
        <v>175</v>
      </c>
      <c r="G32" s="104" t="s">
        <v>84</v>
      </c>
      <c r="H32" s="64" t="s">
        <v>120</v>
      </c>
      <c r="I32" s="50" t="s">
        <v>176</v>
      </c>
      <c r="J32" s="72" t="s">
        <v>174</v>
      </c>
      <c r="K32" s="50" t="s">
        <v>176</v>
      </c>
      <c r="L32" s="64">
        <v>1</v>
      </c>
      <c r="M32" s="50">
        <f t="shared" si="2"/>
        <v>1000</v>
      </c>
      <c r="N32" s="64">
        <v>1050</v>
      </c>
      <c r="O32" s="94" t="s">
        <v>212</v>
      </c>
      <c r="P32" s="90">
        <v>1.6E-2</v>
      </c>
      <c r="Q32" s="99">
        <f t="shared" ref="Q32:Q39" si="3">P32*N32</f>
        <v>16.8</v>
      </c>
      <c r="R32" s="127" t="s">
        <v>213</v>
      </c>
      <c r="S32" s="100"/>
    </row>
    <row r="33" spans="1:19" s="101" customFormat="1" ht="26.25" thickBot="1" x14ac:dyDescent="0.3">
      <c r="A33" s="98"/>
      <c r="B33" s="55">
        <f>ROW(B33) - ROW($B$9)</f>
        <v>24</v>
      </c>
      <c r="C33" s="53" t="s">
        <v>9</v>
      </c>
      <c r="D33" s="41" t="s">
        <v>33</v>
      </c>
      <c r="E33" s="40" t="s">
        <v>64</v>
      </c>
      <c r="F33" s="41" t="s">
        <v>175</v>
      </c>
      <c r="G33" s="40" t="s">
        <v>85</v>
      </c>
      <c r="H33" s="41" t="s">
        <v>123</v>
      </c>
      <c r="I33" s="40" t="s">
        <v>176</v>
      </c>
      <c r="J33" s="41" t="s">
        <v>176</v>
      </c>
      <c r="K33" s="40" t="s">
        <v>176</v>
      </c>
      <c r="L33" s="41">
        <v>1</v>
      </c>
      <c r="M33" s="40">
        <f t="shared" si="2"/>
        <v>1000</v>
      </c>
      <c r="N33" s="41">
        <v>1020</v>
      </c>
      <c r="O33" s="80" t="s">
        <v>212</v>
      </c>
      <c r="P33" s="89">
        <v>3.12</v>
      </c>
      <c r="Q33" s="102">
        <f t="shared" si="3"/>
        <v>3182.4</v>
      </c>
      <c r="R33" s="126" t="s">
        <v>213</v>
      </c>
      <c r="S33" s="103"/>
    </row>
    <row r="34" spans="1:19" s="101" customFormat="1" ht="36.75" thickBot="1" x14ac:dyDescent="0.3">
      <c r="A34" s="98"/>
      <c r="B34" s="55">
        <f t="shared" si="1"/>
        <v>25</v>
      </c>
      <c r="C34" s="62" t="s">
        <v>169</v>
      </c>
      <c r="D34" s="64" t="s">
        <v>34</v>
      </c>
      <c r="E34" s="50" t="s">
        <v>65</v>
      </c>
      <c r="F34" s="64" t="s">
        <v>86</v>
      </c>
      <c r="G34" s="50" t="s">
        <v>110</v>
      </c>
      <c r="H34" s="64" t="s">
        <v>124</v>
      </c>
      <c r="I34" s="50" t="s">
        <v>176</v>
      </c>
      <c r="J34" s="76" t="s">
        <v>179</v>
      </c>
      <c r="K34" s="50" t="s">
        <v>176</v>
      </c>
      <c r="L34" s="64">
        <v>1</v>
      </c>
      <c r="M34" s="50">
        <f t="shared" si="2"/>
        <v>1000</v>
      </c>
      <c r="N34" s="64">
        <v>1020</v>
      </c>
      <c r="O34" s="94" t="s">
        <v>152</v>
      </c>
      <c r="P34" s="90">
        <v>0.29759999999999998</v>
      </c>
      <c r="Q34" s="99">
        <f t="shared" si="3"/>
        <v>303.55199999999996</v>
      </c>
      <c r="R34" s="64"/>
      <c r="S34" s="100"/>
    </row>
    <row r="35" spans="1:19" s="101" customFormat="1" ht="26.25" thickBot="1" x14ac:dyDescent="0.3">
      <c r="A35" s="98"/>
      <c r="B35" s="55">
        <f>ROW(B35) - ROW($B$9)</f>
        <v>26</v>
      </c>
      <c r="C35" s="53" t="s">
        <v>169</v>
      </c>
      <c r="D35" s="41" t="s">
        <v>35</v>
      </c>
      <c r="E35" s="40" t="s">
        <v>66</v>
      </c>
      <c r="F35" s="41" t="s">
        <v>87</v>
      </c>
      <c r="G35" s="40" t="s">
        <v>111</v>
      </c>
      <c r="H35" s="41" t="s">
        <v>118</v>
      </c>
      <c r="I35" s="40" t="s">
        <v>176</v>
      </c>
      <c r="J35" s="41" t="s">
        <v>176</v>
      </c>
      <c r="K35" s="40" t="s">
        <v>176</v>
      </c>
      <c r="L35" s="41">
        <v>1</v>
      </c>
      <c r="M35" s="40">
        <f t="shared" si="2"/>
        <v>1000</v>
      </c>
      <c r="N35" s="41">
        <v>1020</v>
      </c>
      <c r="O35" s="80" t="s">
        <v>212</v>
      </c>
      <c r="P35" s="89">
        <v>14.82</v>
      </c>
      <c r="Q35" s="102">
        <f t="shared" si="3"/>
        <v>15116.4</v>
      </c>
      <c r="R35" s="126" t="s">
        <v>213</v>
      </c>
      <c r="S35" s="103"/>
    </row>
    <row r="36" spans="1:19" s="101" customFormat="1" ht="26.25" thickBot="1" x14ac:dyDescent="0.3">
      <c r="A36" s="98"/>
      <c r="B36" s="55">
        <f t="shared" si="1"/>
        <v>27</v>
      </c>
      <c r="C36" s="62" t="s">
        <v>169</v>
      </c>
      <c r="D36" s="64" t="s">
        <v>36</v>
      </c>
      <c r="E36" s="50" t="s">
        <v>67</v>
      </c>
      <c r="F36" s="64" t="s">
        <v>186</v>
      </c>
      <c r="G36" s="50" t="s">
        <v>88</v>
      </c>
      <c r="H36" s="64" t="s">
        <v>118</v>
      </c>
      <c r="I36" s="50" t="s">
        <v>176</v>
      </c>
      <c r="J36" s="72" t="s">
        <v>199</v>
      </c>
      <c r="K36" s="50" t="s">
        <v>176</v>
      </c>
      <c r="L36" s="64">
        <v>2</v>
      </c>
      <c r="M36" s="50">
        <f t="shared" si="2"/>
        <v>2000</v>
      </c>
      <c r="N36" s="64">
        <v>2020</v>
      </c>
      <c r="O36" s="133" t="s">
        <v>152</v>
      </c>
      <c r="P36" s="90">
        <v>2.6855000000000002</v>
      </c>
      <c r="Q36" s="135">
        <f t="shared" si="3"/>
        <v>5424.71</v>
      </c>
      <c r="R36" s="127" t="s">
        <v>215</v>
      </c>
      <c r="S36" s="100"/>
    </row>
    <row r="37" spans="1:19" s="101" customFormat="1" ht="36.75" thickBot="1" x14ac:dyDescent="0.3">
      <c r="A37" s="98"/>
      <c r="B37" s="55">
        <f>ROW(B37) - ROW($B$9)</f>
        <v>28</v>
      </c>
      <c r="C37" s="53" t="s">
        <v>169</v>
      </c>
      <c r="D37" s="41" t="s">
        <v>37</v>
      </c>
      <c r="E37" s="40" t="s">
        <v>68</v>
      </c>
      <c r="F37" s="41" t="s">
        <v>200</v>
      </c>
      <c r="G37" s="40" t="s">
        <v>89</v>
      </c>
      <c r="H37" s="41" t="s">
        <v>125</v>
      </c>
      <c r="I37" s="40" t="s">
        <v>176</v>
      </c>
      <c r="J37" s="77" t="s">
        <v>180</v>
      </c>
      <c r="K37" s="40" t="s">
        <v>176</v>
      </c>
      <c r="L37" s="41">
        <v>1</v>
      </c>
      <c r="M37" s="40">
        <f t="shared" si="2"/>
        <v>1000</v>
      </c>
      <c r="N37" s="41">
        <v>1020</v>
      </c>
      <c r="O37" s="80" t="s">
        <v>152</v>
      </c>
      <c r="P37" s="89">
        <v>4.19E-2</v>
      </c>
      <c r="Q37" s="102">
        <f t="shared" si="3"/>
        <v>42.738</v>
      </c>
      <c r="R37" s="126" t="s">
        <v>216</v>
      </c>
      <c r="S37" s="103"/>
    </row>
    <row r="38" spans="1:19" s="101" customFormat="1" ht="48.75" thickBot="1" x14ac:dyDescent="0.3">
      <c r="A38" s="98"/>
      <c r="B38" s="55">
        <f t="shared" si="1"/>
        <v>29</v>
      </c>
      <c r="C38" s="62" t="s">
        <v>170</v>
      </c>
      <c r="D38" s="64" t="s">
        <v>38</v>
      </c>
      <c r="E38" s="50" t="s">
        <v>69</v>
      </c>
      <c r="F38" s="64" t="s">
        <v>175</v>
      </c>
      <c r="G38" s="50" t="s">
        <v>90</v>
      </c>
      <c r="H38" s="64" t="s">
        <v>126</v>
      </c>
      <c r="I38" s="50" t="s">
        <v>176</v>
      </c>
      <c r="J38" s="78" t="s">
        <v>177</v>
      </c>
      <c r="K38" s="50" t="s">
        <v>187</v>
      </c>
      <c r="L38" s="64">
        <v>1</v>
      </c>
      <c r="M38" s="50">
        <f t="shared" si="2"/>
        <v>1000</v>
      </c>
      <c r="N38" s="64">
        <v>1020</v>
      </c>
      <c r="O38" s="94" t="s">
        <v>152</v>
      </c>
      <c r="P38" s="90">
        <v>0.10050000000000001</v>
      </c>
      <c r="Q38" s="99">
        <f t="shared" si="3"/>
        <v>102.51</v>
      </c>
      <c r="R38" s="64"/>
      <c r="S38" s="100"/>
    </row>
    <row r="39" spans="1:19" s="101" customFormat="1" ht="48.75" thickBot="1" x14ac:dyDescent="0.3">
      <c r="A39" s="98"/>
      <c r="B39" s="55">
        <f>ROW(B39) - ROW($B$9)</f>
        <v>30</v>
      </c>
      <c r="C39" s="63" t="s">
        <v>170</v>
      </c>
      <c r="D39" s="67" t="s">
        <v>39</v>
      </c>
      <c r="E39" s="65" t="s">
        <v>70</v>
      </c>
      <c r="F39" s="67" t="s">
        <v>175</v>
      </c>
      <c r="G39" s="65" t="s">
        <v>91</v>
      </c>
      <c r="H39" s="67" t="s">
        <v>127</v>
      </c>
      <c r="I39" s="65" t="s">
        <v>176</v>
      </c>
      <c r="J39" s="79" t="s">
        <v>178</v>
      </c>
      <c r="K39" s="65" t="s">
        <v>188</v>
      </c>
      <c r="L39" s="67">
        <v>2</v>
      </c>
      <c r="M39" s="65">
        <f t="shared" si="2"/>
        <v>2000</v>
      </c>
      <c r="N39" s="67">
        <v>2050</v>
      </c>
      <c r="O39" s="107" t="s">
        <v>152</v>
      </c>
      <c r="P39" s="91">
        <v>4.0500000000000001E-2</v>
      </c>
      <c r="Q39" s="105">
        <f t="shared" si="3"/>
        <v>83.025000000000006</v>
      </c>
      <c r="R39" s="126" t="s">
        <v>217</v>
      </c>
      <c r="S39" s="106"/>
    </row>
    <row r="40" spans="1:19" ht="19.5" thickBot="1" x14ac:dyDescent="0.3">
      <c r="A40" s="1"/>
      <c r="B40" s="66"/>
      <c r="C40" s="56"/>
      <c r="D40" s="57"/>
      <c r="E40" s="58"/>
      <c r="F40" s="59"/>
      <c r="G40" s="60"/>
      <c r="H40" s="59"/>
      <c r="I40" s="60"/>
      <c r="J40" s="59"/>
      <c r="K40" s="60"/>
      <c r="L40" s="60"/>
      <c r="M40" s="60"/>
      <c r="N40" s="149" t="s">
        <v>209</v>
      </c>
      <c r="O40" s="150"/>
      <c r="P40" s="150"/>
      <c r="Q40" s="124">
        <f>SUM(Q10:Q39)</f>
        <v>38220.392</v>
      </c>
      <c r="R40" s="145"/>
      <c r="S40" s="146"/>
    </row>
    <row r="41" spans="1:19" ht="19.5" thickBot="1" x14ac:dyDescent="0.3">
      <c r="A41" s="1"/>
      <c r="B41" s="25"/>
      <c r="C41" s="37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49" t="s">
        <v>210</v>
      </c>
      <c r="O41" s="150"/>
      <c r="P41" s="150"/>
      <c r="Q41" s="125">
        <f>Q40/1000</f>
        <v>38.220391999999997</v>
      </c>
      <c r="R41" s="147"/>
      <c r="S41" s="148"/>
    </row>
    <row r="43" spans="1:19" x14ac:dyDescent="0.25">
      <c r="P43" s="128"/>
    </row>
  </sheetData>
  <mergeCells count="5">
    <mergeCell ref="K1:S1"/>
    <mergeCell ref="S3:S8"/>
    <mergeCell ref="R40:S41"/>
    <mergeCell ref="N40:P40"/>
    <mergeCell ref="N41:P41"/>
  </mergeCells>
  <conditionalFormatting sqref="O13 O31 O33 O15 O17 O1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{344BBDDC-0BF4-42EA-9B44-A17FFDB2F771}</x14:id>
        </ext>
      </extLst>
    </cfRule>
  </conditionalFormatting>
  <conditionalFormatting sqref="O21:O2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{25B37203-BC10-4A2E-9962-FBD4D106E38D}</x14:id>
        </ext>
      </extLst>
    </cfRule>
  </conditionalFormatting>
  <conditionalFormatting sqref="O3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{B639415F-47A7-497D-9A01-6908F14124F4}</x14:id>
        </ext>
      </extLst>
    </cfRule>
  </conditionalFormatting>
  <conditionalFormatting sqref="O3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{8A9B8886-8DBD-48FA-BCAD-FCC8F033B6A3}</x14:id>
        </ext>
      </extLst>
    </cfRule>
  </conditionalFormatting>
  <conditionalFormatting sqref="O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{091C421B-9F30-42F5-8771-D2F3CEDE36ED}</x14:id>
        </ext>
      </extLst>
    </cfRule>
  </conditionalFormatting>
  <conditionalFormatting sqref="O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{8F5790F9-3EFC-4FD8-AC02-A33DAF194EC9}</x14:id>
        </ext>
      </extLst>
    </cfRule>
  </conditionalFormatting>
  <hyperlinks>
    <hyperlink ref="O10" r:id="rId1" xr:uid="{7BC1053A-E147-4C20-8529-5351176A3E7F}"/>
    <hyperlink ref="O11" r:id="rId2" xr:uid="{F55878A6-5433-4698-9C84-A2EF42E82CB8}"/>
    <hyperlink ref="O12" r:id="rId3" xr:uid="{86A0D443-CE2D-48A0-BCFD-3FF99AC8A4BC}"/>
    <hyperlink ref="O14" r:id="rId4" xr:uid="{EAAF0711-44B8-47D5-802D-EEAA5E0BF4F8}"/>
    <hyperlink ref="O15" r:id="rId5" xr:uid="{FAB6D17E-E5E4-47C9-A892-7F49530728A4}"/>
    <hyperlink ref="O16" r:id="rId6" xr:uid="{2BE8B3FE-D28D-4ED2-AC27-011535089A20}"/>
    <hyperlink ref="O17" r:id="rId7" xr:uid="{E0E31547-A055-4660-A012-2CE6E4C57AD3}"/>
    <hyperlink ref="O19" r:id="rId8" xr:uid="{43256331-ECA4-4673-B03D-286F3A19CB33}"/>
    <hyperlink ref="O21" r:id="rId9" xr:uid="{91EB96FF-5D0C-4E14-9B50-507FFBE8755A}"/>
    <hyperlink ref="O22" r:id="rId10" xr:uid="{233809BD-84DC-43AA-9BFD-0904586B2528}"/>
    <hyperlink ref="O38" r:id="rId11" xr:uid="{351E3205-4DAE-4412-8088-0C16A14E03D3}"/>
    <hyperlink ref="O39" r:id="rId12" xr:uid="{15F23688-AE3E-410A-9D2C-A572D8106C1F}"/>
    <hyperlink ref="O34" r:id="rId13" xr:uid="{964CA9CB-3F84-40ED-8FC9-038673FF86D2}"/>
    <hyperlink ref="O37" r:id="rId14" xr:uid="{EF305645-ED93-4EAB-8B9C-4EB2A84E9E13}"/>
    <hyperlink ref="O27" r:id="rId15" xr:uid="{B411B8C2-2F7C-458C-B35A-1EB0719DA2CB}"/>
    <hyperlink ref="O28" r:id="rId16" xr:uid="{9EEF8C76-E122-4007-A4AC-6AAB1A906DD0}"/>
    <hyperlink ref="O29" r:id="rId17" xr:uid="{5EFDD235-E60F-4B96-8512-92AA488B7A1C}"/>
    <hyperlink ref="O13" r:id="rId18" xr:uid="{B3AA2EEE-EDD4-4958-84AE-8539306D9A38}"/>
    <hyperlink ref="O18" r:id="rId19" xr:uid="{5A5EF4A5-226E-4123-8E8C-05E8C11A179B}"/>
    <hyperlink ref="O20" r:id="rId20" xr:uid="{31984E57-0750-4C2C-8276-11E4E4B12B95}"/>
    <hyperlink ref="O23" r:id="rId21" xr:uid="{98C44033-0EDD-4F9E-AB94-B8E40B8C3F0E}"/>
    <hyperlink ref="O24" r:id="rId22" xr:uid="{9768DC2D-5687-4B0D-BDA7-404F744B5E2B}"/>
    <hyperlink ref="O26" r:id="rId23" xr:uid="{61E1E6A6-4B08-476D-AAC0-043E86BF3138}"/>
    <hyperlink ref="O30" r:id="rId24" xr:uid="{82227681-4BC0-4ED4-BC31-2CAE976DF066}"/>
    <hyperlink ref="O36" r:id="rId25" xr:uid="{C9104653-C330-4548-8691-0766A17FEC19}"/>
  </hyperlinks>
  <pageMargins left="0.7" right="0.7" top="0.75" bottom="0.75" header="0.3" footer="0.3"/>
  <drawing r:id="rId2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4BBDDC-0BF4-42EA-9B44-A17FFDB2F7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 O31 O33 O15 O17 O19</xm:sqref>
        </x14:conditionalFormatting>
        <x14:conditionalFormatting xmlns:xm="http://schemas.microsoft.com/office/excel/2006/main">
          <x14:cfRule type="dataBar" id="{25B37203-BC10-4A2E-9962-FBD4D106E3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B639415F-47A7-497D-9A01-6908F1412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8A9B8886-8DBD-48FA-BCAD-FCC8F033B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091C421B-9F30-42F5-8771-D2F3CEDE3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F5790F9-3EFC-4FD8-AC02-A33DAF194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2F49-9E9D-40E5-8442-6D9FA1F2D4FE}">
  <dimension ref="A1:X41"/>
  <sheetViews>
    <sheetView tabSelected="1" topLeftCell="A19" workbookViewId="0">
      <selection activeCell="G24" sqref="G24"/>
    </sheetView>
  </sheetViews>
  <sheetFormatPr defaultRowHeight="15" x14ac:dyDescent="0.25"/>
  <cols>
    <col min="2" max="2" width="3" bestFit="1" customWidth="1"/>
    <col min="3" max="3" width="13.28515625" customWidth="1"/>
    <col min="4" max="4" width="31.140625" bestFit="1" customWidth="1"/>
    <col min="5" max="5" width="27.42578125" customWidth="1"/>
    <col min="6" max="6" width="13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15.7109375" bestFit="1" customWidth="1"/>
    <col min="16" max="16" width="21.85546875" bestFit="1" customWidth="1"/>
    <col min="17" max="17" width="22.42578125" bestFit="1" customWidth="1"/>
    <col min="18" max="18" width="15.85546875" customWidth="1"/>
    <col min="19" max="19" width="26.140625" customWidth="1"/>
    <col min="22" max="22" width="22.42578125" bestFit="1" customWidth="1"/>
  </cols>
  <sheetData>
    <row r="1" spans="1:24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41"/>
      <c r="L1" s="141"/>
      <c r="M1" s="141"/>
      <c r="N1" s="141"/>
      <c r="O1" s="141"/>
      <c r="P1" s="141"/>
      <c r="Q1" s="141"/>
      <c r="R1" s="141"/>
      <c r="S1" s="142"/>
    </row>
    <row r="2" spans="1:24" ht="32.25" thickBot="1" x14ac:dyDescent="0.3">
      <c r="A2" s="1"/>
      <c r="B2" s="21"/>
      <c r="C2" s="32"/>
      <c r="D2" s="11" t="s">
        <v>0</v>
      </c>
      <c r="E2" s="11"/>
      <c r="F2" s="45" t="s">
        <v>160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24" x14ac:dyDescent="0.25">
      <c r="A3" s="1"/>
      <c r="B3" s="22"/>
      <c r="C3" s="33"/>
      <c r="D3" s="13" t="s">
        <v>1</v>
      </c>
      <c r="E3" s="13"/>
      <c r="F3" s="46" t="s">
        <v>161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43"/>
    </row>
    <row r="4" spans="1:24" x14ac:dyDescent="0.25">
      <c r="A4" s="1"/>
      <c r="B4" s="22"/>
      <c r="C4" s="33"/>
      <c r="D4" s="13" t="s">
        <v>2</v>
      </c>
      <c r="E4" s="13"/>
      <c r="F4" s="47" t="s">
        <v>161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44"/>
    </row>
    <row r="5" spans="1:24" x14ac:dyDescent="0.25">
      <c r="A5" s="1"/>
      <c r="B5" s="22"/>
      <c r="C5" s="33"/>
      <c r="D5" s="13" t="s">
        <v>3</v>
      </c>
      <c r="E5" s="13"/>
      <c r="F5" s="4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44"/>
    </row>
    <row r="6" spans="1:24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44"/>
    </row>
    <row r="7" spans="1:24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44"/>
    </row>
    <row r="8" spans="1:24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44"/>
    </row>
    <row r="9" spans="1:24" ht="15.75" thickBot="1" x14ac:dyDescent="0.3">
      <c r="A9" s="1"/>
      <c r="B9" s="49" t="s">
        <v>4</v>
      </c>
      <c r="C9" s="30" t="s">
        <v>6</v>
      </c>
      <c r="D9" s="31" t="s">
        <v>10</v>
      </c>
      <c r="E9" s="30" t="s">
        <v>40</v>
      </c>
      <c r="F9" s="31" t="s">
        <v>71</v>
      </c>
      <c r="G9" s="30" t="s">
        <v>92</v>
      </c>
      <c r="H9" s="31" t="s">
        <v>112</v>
      </c>
      <c r="I9" s="30" t="s">
        <v>151</v>
      </c>
      <c r="J9" s="31" t="s">
        <v>128</v>
      </c>
      <c r="K9" s="30" t="s">
        <v>147</v>
      </c>
      <c r="L9" s="31" t="s">
        <v>145</v>
      </c>
      <c r="M9" s="30" t="s">
        <v>205</v>
      </c>
      <c r="N9" s="31" t="s">
        <v>206</v>
      </c>
      <c r="O9" s="30" t="s">
        <v>148</v>
      </c>
      <c r="P9" s="31" t="s">
        <v>207</v>
      </c>
      <c r="Q9" s="30" t="s">
        <v>208</v>
      </c>
      <c r="R9" s="30" t="s">
        <v>149</v>
      </c>
      <c r="S9" s="30" t="s">
        <v>150</v>
      </c>
    </row>
    <row r="10" spans="1:24" ht="15.75" thickBot="1" x14ac:dyDescent="0.3">
      <c r="A10" s="1"/>
      <c r="B10" s="109">
        <f>ROW(B10) - ROW($B$9)</f>
        <v>1</v>
      </c>
      <c r="C10" s="110" t="s">
        <v>7</v>
      </c>
      <c r="D10" s="111" t="s">
        <v>11</v>
      </c>
      <c r="E10" s="112" t="s">
        <v>41</v>
      </c>
      <c r="F10" s="111" t="s">
        <v>72</v>
      </c>
      <c r="G10" s="112" t="s">
        <v>93</v>
      </c>
      <c r="H10" s="111" t="s">
        <v>113</v>
      </c>
      <c r="I10" s="38" t="s">
        <v>176</v>
      </c>
      <c r="J10" s="71" t="s">
        <v>146</v>
      </c>
      <c r="K10" s="38" t="s">
        <v>131</v>
      </c>
      <c r="L10" s="111">
        <v>1</v>
      </c>
      <c r="M10" s="112">
        <f>L10*5000</f>
        <v>5000</v>
      </c>
      <c r="N10" s="111">
        <v>5200</v>
      </c>
      <c r="O10" s="94" t="s">
        <v>152</v>
      </c>
      <c r="P10" s="113">
        <v>1.0800000000000001E-2</v>
      </c>
      <c r="Q10" s="114">
        <f t="shared" ref="Q10:Q30" si="0">P10*N10</f>
        <v>56.160000000000004</v>
      </c>
      <c r="R10" s="112"/>
      <c r="S10" s="43"/>
    </row>
    <row r="11" spans="1:24" s="101" customFormat="1" ht="24.75" thickBot="1" x14ac:dyDescent="0.3">
      <c r="A11" s="98"/>
      <c r="B11" s="55">
        <f t="shared" ref="B11:B38" si="1">ROW(B11) - ROW($B$9)</f>
        <v>2</v>
      </c>
      <c r="C11" s="53" t="s">
        <v>7</v>
      </c>
      <c r="D11" s="41" t="s">
        <v>12</v>
      </c>
      <c r="E11" s="40" t="s">
        <v>42</v>
      </c>
      <c r="F11" s="41" t="s">
        <v>72</v>
      </c>
      <c r="G11" s="40" t="s">
        <v>94</v>
      </c>
      <c r="H11" s="41" t="s">
        <v>114</v>
      </c>
      <c r="I11" s="40" t="s">
        <v>176</v>
      </c>
      <c r="J11" s="41" t="s">
        <v>153</v>
      </c>
      <c r="K11" s="40" t="s">
        <v>132</v>
      </c>
      <c r="L11" s="41">
        <v>17</v>
      </c>
      <c r="M11" s="40">
        <f t="shared" ref="M11:M39" si="2">L11*5000</f>
        <v>85000</v>
      </c>
      <c r="N11" s="41">
        <v>85200</v>
      </c>
      <c r="O11" s="80" t="s">
        <v>152</v>
      </c>
      <c r="P11" s="89">
        <v>2.7000000000000001E-3</v>
      </c>
      <c r="Q11" s="102">
        <f t="shared" si="0"/>
        <v>230.04000000000002</v>
      </c>
      <c r="R11" s="40"/>
      <c r="S11" s="103"/>
      <c r="X11"/>
    </row>
    <row r="12" spans="1:24" s="101" customFormat="1" ht="39" thickBot="1" x14ac:dyDescent="0.3">
      <c r="A12" s="98"/>
      <c r="B12" s="55">
        <f>ROW(B12) - ROW($B$9)</f>
        <v>3</v>
      </c>
      <c r="C12" s="62" t="s">
        <v>7</v>
      </c>
      <c r="D12" s="64" t="s">
        <v>13</v>
      </c>
      <c r="E12" s="50" t="s">
        <v>43</v>
      </c>
      <c r="F12" s="64" t="s">
        <v>73</v>
      </c>
      <c r="G12" s="50" t="s">
        <v>95</v>
      </c>
      <c r="H12" s="64" t="s">
        <v>114</v>
      </c>
      <c r="I12" s="50" t="s">
        <v>176</v>
      </c>
      <c r="J12" s="78" t="s">
        <v>154</v>
      </c>
      <c r="K12" s="50" t="s">
        <v>133</v>
      </c>
      <c r="L12" s="64">
        <v>8</v>
      </c>
      <c r="M12" s="50">
        <f t="shared" si="2"/>
        <v>40000</v>
      </c>
      <c r="N12" s="64">
        <v>40200</v>
      </c>
      <c r="O12" s="136" t="s">
        <v>152</v>
      </c>
      <c r="P12" s="90">
        <v>1.5E-3</v>
      </c>
      <c r="Q12" s="99">
        <f t="shared" si="0"/>
        <v>60.300000000000004</v>
      </c>
      <c r="R12" s="138" t="s">
        <v>218</v>
      </c>
      <c r="S12" s="100"/>
    </row>
    <row r="13" spans="1:24" s="101" customFormat="1" ht="39" thickBot="1" x14ac:dyDescent="0.3">
      <c r="A13" s="98"/>
      <c r="B13" s="55">
        <f t="shared" si="1"/>
        <v>4</v>
      </c>
      <c r="C13" s="53" t="s">
        <v>7</v>
      </c>
      <c r="D13" s="41" t="s">
        <v>14</v>
      </c>
      <c r="E13" s="40" t="s">
        <v>44</v>
      </c>
      <c r="F13" s="41" t="s">
        <v>74</v>
      </c>
      <c r="G13" s="40" t="s">
        <v>96</v>
      </c>
      <c r="H13" s="41" t="s">
        <v>115</v>
      </c>
      <c r="I13" s="40" t="s">
        <v>176</v>
      </c>
      <c r="J13" s="41" t="s">
        <v>129</v>
      </c>
      <c r="K13" s="40" t="s">
        <v>134</v>
      </c>
      <c r="L13" s="41">
        <v>2</v>
      </c>
      <c r="M13" s="40">
        <f t="shared" si="2"/>
        <v>10000</v>
      </c>
      <c r="N13" s="41">
        <v>10100</v>
      </c>
      <c r="O13" s="137" t="s">
        <v>152</v>
      </c>
      <c r="P13" s="89">
        <v>1.1661999999999999</v>
      </c>
      <c r="Q13" s="102">
        <f t="shared" si="0"/>
        <v>11778.619999999999</v>
      </c>
      <c r="R13" s="139" t="s">
        <v>218</v>
      </c>
      <c r="S13" s="103"/>
    </row>
    <row r="14" spans="1:24" s="101" customFormat="1" ht="24.75" thickBot="1" x14ac:dyDescent="0.3">
      <c r="A14" s="98"/>
      <c r="B14" s="55">
        <f>ROW(B14) - ROW($B$9)</f>
        <v>5</v>
      </c>
      <c r="C14" s="62" t="s">
        <v>7</v>
      </c>
      <c r="D14" s="64" t="s">
        <v>15</v>
      </c>
      <c r="E14" s="50" t="s">
        <v>45</v>
      </c>
      <c r="F14" s="64" t="s">
        <v>72</v>
      </c>
      <c r="G14" s="50" t="s">
        <v>97</v>
      </c>
      <c r="H14" s="64" t="s">
        <v>114</v>
      </c>
      <c r="I14" s="50" t="s">
        <v>176</v>
      </c>
      <c r="J14" s="72" t="s">
        <v>155</v>
      </c>
      <c r="K14" s="50" t="s">
        <v>135</v>
      </c>
      <c r="L14" s="64">
        <v>12</v>
      </c>
      <c r="M14" s="122">
        <f t="shared" si="2"/>
        <v>60000</v>
      </c>
      <c r="N14" s="64">
        <v>60200</v>
      </c>
      <c r="O14" s="94" t="s">
        <v>152</v>
      </c>
      <c r="P14" s="90">
        <v>3.2000000000000002E-3</v>
      </c>
      <c r="Q14" s="99">
        <f t="shared" si="0"/>
        <v>192.64000000000001</v>
      </c>
      <c r="R14" s="50"/>
      <c r="S14" s="100"/>
      <c r="X14"/>
    </row>
    <row r="15" spans="1:24" ht="39" thickBot="1" x14ac:dyDescent="0.3">
      <c r="A15" s="1"/>
      <c r="B15" s="115">
        <f t="shared" si="1"/>
        <v>6</v>
      </c>
      <c r="C15" s="116" t="s">
        <v>7</v>
      </c>
      <c r="D15" s="117" t="s">
        <v>16</v>
      </c>
      <c r="E15" s="118" t="s">
        <v>46</v>
      </c>
      <c r="F15" s="117" t="s">
        <v>72</v>
      </c>
      <c r="G15" s="118" t="s">
        <v>98</v>
      </c>
      <c r="H15" s="117" t="s">
        <v>116</v>
      </c>
      <c r="I15" s="40" t="s">
        <v>176</v>
      </c>
      <c r="J15" s="41" t="s">
        <v>156</v>
      </c>
      <c r="K15" s="40" t="s">
        <v>136</v>
      </c>
      <c r="L15" s="117">
        <v>1</v>
      </c>
      <c r="M15" s="40">
        <f t="shared" si="2"/>
        <v>5000</v>
      </c>
      <c r="N15" s="117">
        <v>5100</v>
      </c>
      <c r="O15" s="80" t="s">
        <v>152</v>
      </c>
      <c r="P15" s="119">
        <v>1.9199999999999998E-2</v>
      </c>
      <c r="Q15" s="85">
        <f t="shared" si="0"/>
        <v>97.919999999999987</v>
      </c>
      <c r="R15" s="139" t="s">
        <v>218</v>
      </c>
      <c r="S15" s="44"/>
    </row>
    <row r="16" spans="1:24" ht="15.75" thickBot="1" x14ac:dyDescent="0.3">
      <c r="A16" s="1"/>
      <c r="B16" s="115">
        <f>ROW(B16) - ROW($B$9)</f>
        <v>7</v>
      </c>
      <c r="C16" s="120" t="s">
        <v>7</v>
      </c>
      <c r="D16" s="121" t="s">
        <v>17</v>
      </c>
      <c r="E16" s="122" t="s">
        <v>47</v>
      </c>
      <c r="F16" s="121" t="s">
        <v>72</v>
      </c>
      <c r="G16" s="122" t="s">
        <v>99</v>
      </c>
      <c r="H16" s="121" t="s">
        <v>114</v>
      </c>
      <c r="I16" s="50" t="s">
        <v>176</v>
      </c>
      <c r="J16" s="72" t="s">
        <v>157</v>
      </c>
      <c r="K16" s="50" t="s">
        <v>137</v>
      </c>
      <c r="L16" s="121">
        <v>6</v>
      </c>
      <c r="M16" s="122">
        <f t="shared" si="2"/>
        <v>30000</v>
      </c>
      <c r="N16" s="121">
        <v>30200</v>
      </c>
      <c r="O16" s="94" t="s">
        <v>152</v>
      </c>
      <c r="P16" s="123">
        <v>1.6999999999999999E-3</v>
      </c>
      <c r="Q16" s="86">
        <f t="shared" si="0"/>
        <v>51.339999999999996</v>
      </c>
      <c r="R16" s="122"/>
      <c r="S16" s="92"/>
    </row>
    <row r="17" spans="1:24" s="101" customFormat="1" ht="39" thickBot="1" x14ac:dyDescent="0.3">
      <c r="A17" s="98"/>
      <c r="B17" s="55">
        <f t="shared" si="1"/>
        <v>8</v>
      </c>
      <c r="C17" s="53" t="s">
        <v>7</v>
      </c>
      <c r="D17" s="41" t="s">
        <v>18</v>
      </c>
      <c r="E17" s="40" t="s">
        <v>48</v>
      </c>
      <c r="F17" s="41" t="s">
        <v>72</v>
      </c>
      <c r="G17" s="40" t="s">
        <v>100</v>
      </c>
      <c r="H17" s="41" t="s">
        <v>114</v>
      </c>
      <c r="I17" s="40" t="s">
        <v>176</v>
      </c>
      <c r="J17" s="41" t="s">
        <v>158</v>
      </c>
      <c r="K17" s="40" t="s">
        <v>138</v>
      </c>
      <c r="L17" s="41">
        <v>16</v>
      </c>
      <c r="M17" s="40">
        <f t="shared" si="2"/>
        <v>80000</v>
      </c>
      <c r="N17" s="41">
        <v>80200</v>
      </c>
      <c r="O17" s="80" t="s">
        <v>152</v>
      </c>
      <c r="P17" s="89">
        <v>5.1000000000000004E-3</v>
      </c>
      <c r="Q17" s="102">
        <f t="shared" si="0"/>
        <v>409.02000000000004</v>
      </c>
      <c r="R17" s="139" t="s">
        <v>218</v>
      </c>
      <c r="S17" s="103"/>
      <c r="X17"/>
    </row>
    <row r="18" spans="1:24" s="101" customFormat="1" ht="15.75" thickBot="1" x14ac:dyDescent="0.3">
      <c r="A18" s="98"/>
      <c r="B18" s="55">
        <f>ROW(B18) - ROW($B$9)</f>
        <v>9</v>
      </c>
      <c r="C18" s="62" t="s">
        <v>7</v>
      </c>
      <c r="D18" s="64" t="s">
        <v>159</v>
      </c>
      <c r="E18" s="50" t="s">
        <v>49</v>
      </c>
      <c r="F18" s="64" t="s">
        <v>72</v>
      </c>
      <c r="G18" s="50" t="s">
        <v>101</v>
      </c>
      <c r="H18" s="64" t="s">
        <v>113</v>
      </c>
      <c r="I18" s="50" t="s">
        <v>176</v>
      </c>
      <c r="J18" s="72" t="s">
        <v>193</v>
      </c>
      <c r="K18" s="50" t="s">
        <v>139</v>
      </c>
      <c r="L18" s="64">
        <v>3</v>
      </c>
      <c r="M18" s="122">
        <f t="shared" si="2"/>
        <v>15000</v>
      </c>
      <c r="N18" s="64">
        <v>15200</v>
      </c>
      <c r="O18" s="94" t="s">
        <v>152</v>
      </c>
      <c r="P18" s="90">
        <v>1.3299999999999999E-2</v>
      </c>
      <c r="Q18" s="99">
        <f t="shared" si="0"/>
        <v>202.16</v>
      </c>
      <c r="R18" s="50"/>
      <c r="S18" s="100"/>
      <c r="X18"/>
    </row>
    <row r="19" spans="1:24" ht="39" thickBot="1" x14ac:dyDescent="0.3">
      <c r="A19" s="1"/>
      <c r="B19" s="115">
        <f>ROW(B19) - ROW($B$9)</f>
        <v>10</v>
      </c>
      <c r="C19" s="116" t="s">
        <v>7</v>
      </c>
      <c r="D19" s="117" t="s">
        <v>19</v>
      </c>
      <c r="E19" s="118" t="s">
        <v>50</v>
      </c>
      <c r="F19" s="117" t="s">
        <v>72</v>
      </c>
      <c r="G19" s="118" t="s">
        <v>102</v>
      </c>
      <c r="H19" s="117" t="s">
        <v>114</v>
      </c>
      <c r="I19" s="40" t="s">
        <v>176</v>
      </c>
      <c r="J19" s="41" t="s">
        <v>162</v>
      </c>
      <c r="K19" s="40" t="s">
        <v>140</v>
      </c>
      <c r="L19" s="117">
        <v>1</v>
      </c>
      <c r="M19" s="40">
        <f t="shared" si="2"/>
        <v>5000</v>
      </c>
      <c r="N19" s="117">
        <v>5100</v>
      </c>
      <c r="O19" s="80" t="s">
        <v>152</v>
      </c>
      <c r="P19" s="119">
        <v>2.2000000000000001E-3</v>
      </c>
      <c r="Q19" s="85">
        <f t="shared" si="0"/>
        <v>11.22</v>
      </c>
      <c r="R19" s="139" t="s">
        <v>218</v>
      </c>
      <c r="S19" s="44"/>
    </row>
    <row r="20" spans="1:24" s="101" customFormat="1" ht="39" thickBot="1" x14ac:dyDescent="0.3">
      <c r="A20" s="98"/>
      <c r="B20" s="55">
        <f t="shared" si="1"/>
        <v>11</v>
      </c>
      <c r="C20" s="62" t="s">
        <v>7</v>
      </c>
      <c r="D20" s="64" t="s">
        <v>20</v>
      </c>
      <c r="E20" s="50" t="s">
        <v>51</v>
      </c>
      <c r="F20" s="64" t="s">
        <v>75</v>
      </c>
      <c r="G20" s="50" t="s">
        <v>103</v>
      </c>
      <c r="H20" s="64" t="s">
        <v>116</v>
      </c>
      <c r="I20" s="50" t="s">
        <v>176</v>
      </c>
      <c r="J20" s="72" t="s">
        <v>194</v>
      </c>
      <c r="K20" s="50" t="s">
        <v>139</v>
      </c>
      <c r="L20" s="64">
        <v>16</v>
      </c>
      <c r="M20" s="122">
        <f t="shared" si="2"/>
        <v>80000</v>
      </c>
      <c r="N20" s="64">
        <v>80200</v>
      </c>
      <c r="O20" s="94" t="s">
        <v>152</v>
      </c>
      <c r="P20" s="90">
        <v>4.5999999999999999E-2</v>
      </c>
      <c r="Q20" s="99">
        <f t="shared" si="0"/>
        <v>3689.2</v>
      </c>
      <c r="R20" s="138" t="s">
        <v>218</v>
      </c>
      <c r="S20" s="100"/>
      <c r="X20"/>
    </row>
    <row r="21" spans="1:24" s="101" customFormat="1" ht="24.75" thickBot="1" x14ac:dyDescent="0.3">
      <c r="A21" s="98"/>
      <c r="B21" s="55">
        <f>ROW(B21) - ROW($B$9)</f>
        <v>12</v>
      </c>
      <c r="C21" s="53" t="s">
        <v>163</v>
      </c>
      <c r="D21" s="41" t="s">
        <v>21</v>
      </c>
      <c r="E21" s="40" t="s">
        <v>52</v>
      </c>
      <c r="F21" s="68" t="s">
        <v>171</v>
      </c>
      <c r="G21" s="40" t="s">
        <v>76</v>
      </c>
      <c r="H21" s="41" t="s">
        <v>117</v>
      </c>
      <c r="I21" s="40" t="s">
        <v>176</v>
      </c>
      <c r="J21" s="41" t="s">
        <v>172</v>
      </c>
      <c r="K21" s="40" t="s">
        <v>176</v>
      </c>
      <c r="L21" s="41">
        <v>1</v>
      </c>
      <c r="M21" s="40">
        <f t="shared" si="2"/>
        <v>5000</v>
      </c>
      <c r="N21" s="41">
        <v>5100</v>
      </c>
      <c r="O21" s="80" t="s">
        <v>152</v>
      </c>
      <c r="P21" s="89">
        <v>2.58E-2</v>
      </c>
      <c r="Q21" s="102">
        <f t="shared" si="0"/>
        <v>131.58000000000001</v>
      </c>
      <c r="R21" s="40"/>
      <c r="S21" s="103"/>
      <c r="X21"/>
    </row>
    <row r="22" spans="1:24" s="101" customFormat="1" ht="24.75" thickBot="1" x14ac:dyDescent="0.3">
      <c r="A22" s="98"/>
      <c r="B22" s="55">
        <f t="shared" si="1"/>
        <v>13</v>
      </c>
      <c r="C22" s="62" t="s">
        <v>163</v>
      </c>
      <c r="D22" s="64" t="s">
        <v>22</v>
      </c>
      <c r="E22" s="50" t="s">
        <v>53</v>
      </c>
      <c r="F22" s="64" t="s">
        <v>77</v>
      </c>
      <c r="G22" s="50" t="s">
        <v>104</v>
      </c>
      <c r="H22" s="64" t="s">
        <v>118</v>
      </c>
      <c r="I22" s="50" t="s">
        <v>176</v>
      </c>
      <c r="J22" s="72" t="s">
        <v>173</v>
      </c>
      <c r="K22" s="50" t="s">
        <v>176</v>
      </c>
      <c r="L22" s="64">
        <v>1</v>
      </c>
      <c r="M22" s="122">
        <f t="shared" si="2"/>
        <v>5000</v>
      </c>
      <c r="N22" s="64">
        <v>5100</v>
      </c>
      <c r="O22" s="81" t="s">
        <v>152</v>
      </c>
      <c r="P22" s="90">
        <v>1.95E-2</v>
      </c>
      <c r="Q22" s="99">
        <f t="shared" si="0"/>
        <v>99.45</v>
      </c>
      <c r="R22" s="50"/>
      <c r="S22" s="100"/>
      <c r="X22"/>
    </row>
    <row r="23" spans="1:24" s="101" customFormat="1" ht="15.75" thickBot="1" x14ac:dyDescent="0.3">
      <c r="A23" s="98"/>
      <c r="B23" s="55">
        <f>ROW(B23) - ROW($B$9)</f>
        <v>14</v>
      </c>
      <c r="C23" s="53" t="s">
        <v>164</v>
      </c>
      <c r="D23" s="41" t="s">
        <v>23</v>
      </c>
      <c r="E23" s="40" t="s">
        <v>54</v>
      </c>
      <c r="F23" s="41" t="s">
        <v>78</v>
      </c>
      <c r="G23" s="95" t="s">
        <v>105</v>
      </c>
      <c r="H23" s="41" t="s">
        <v>119</v>
      </c>
      <c r="I23" s="40" t="s">
        <v>196</v>
      </c>
      <c r="J23" s="73" t="s">
        <v>195</v>
      </c>
      <c r="K23" s="40" t="s">
        <v>176</v>
      </c>
      <c r="L23" s="41">
        <v>1</v>
      </c>
      <c r="M23" s="40">
        <f t="shared" si="2"/>
        <v>5000</v>
      </c>
      <c r="N23" s="41">
        <v>5100</v>
      </c>
      <c r="O23" s="96" t="s">
        <v>152</v>
      </c>
      <c r="P23" s="89">
        <v>1.6799999999999999E-2</v>
      </c>
      <c r="Q23" s="102">
        <f t="shared" si="0"/>
        <v>85.679999999999993</v>
      </c>
      <c r="R23" s="40"/>
      <c r="S23" s="103"/>
      <c r="X23"/>
    </row>
    <row r="24" spans="1:24" s="101" customFormat="1" ht="36.75" thickBot="1" x14ac:dyDescent="0.3">
      <c r="A24" s="98"/>
      <c r="B24" s="55">
        <f t="shared" si="1"/>
        <v>15</v>
      </c>
      <c r="C24" s="62" t="s">
        <v>165</v>
      </c>
      <c r="D24" s="64" t="s">
        <v>24</v>
      </c>
      <c r="E24" s="50" t="s">
        <v>55</v>
      </c>
      <c r="F24" s="64" t="s">
        <v>175</v>
      </c>
      <c r="G24" s="50" t="s">
        <v>79</v>
      </c>
      <c r="H24" s="64" t="s">
        <v>120</v>
      </c>
      <c r="I24" s="50" t="s">
        <v>176</v>
      </c>
      <c r="J24" s="74" t="s">
        <v>185</v>
      </c>
      <c r="K24" s="50" t="s">
        <v>176</v>
      </c>
      <c r="L24" s="64">
        <v>1</v>
      </c>
      <c r="M24" s="122">
        <f t="shared" si="2"/>
        <v>5000</v>
      </c>
      <c r="N24" s="64">
        <v>5050</v>
      </c>
      <c r="O24" s="82" t="s">
        <v>152</v>
      </c>
      <c r="P24" s="90">
        <v>2.9499999999999998E-2</v>
      </c>
      <c r="Q24" s="99">
        <f t="shared" si="0"/>
        <v>148.97499999999999</v>
      </c>
      <c r="R24" s="50"/>
      <c r="S24" s="100"/>
      <c r="X24"/>
    </row>
    <row r="25" spans="1:24" s="101" customFormat="1" ht="24.75" thickBot="1" x14ac:dyDescent="0.3">
      <c r="A25" s="98"/>
      <c r="B25" s="55">
        <f>ROW(B25) - ROW($B$9)</f>
        <v>16</v>
      </c>
      <c r="C25" s="53" t="s">
        <v>8</v>
      </c>
      <c r="D25" s="41" t="s">
        <v>25</v>
      </c>
      <c r="E25" s="40" t="s">
        <v>56</v>
      </c>
      <c r="F25" s="41" t="s">
        <v>175</v>
      </c>
      <c r="G25" s="40" t="s">
        <v>80</v>
      </c>
      <c r="H25" s="41" t="s">
        <v>121</v>
      </c>
      <c r="I25" s="40" t="s">
        <v>176</v>
      </c>
      <c r="J25" s="41" t="s">
        <v>176</v>
      </c>
      <c r="K25" s="40" t="s">
        <v>176</v>
      </c>
      <c r="L25" s="41">
        <v>8</v>
      </c>
      <c r="M25" s="40">
        <f t="shared" si="2"/>
        <v>40000</v>
      </c>
      <c r="N25" s="41">
        <v>40200</v>
      </c>
      <c r="O25" s="96" t="s">
        <v>212</v>
      </c>
      <c r="P25" s="89">
        <v>1.2450000000000001</v>
      </c>
      <c r="Q25" s="102">
        <f t="shared" si="0"/>
        <v>50049.000000000007</v>
      </c>
      <c r="R25" s="40"/>
      <c r="S25" s="103"/>
      <c r="X25"/>
    </row>
    <row r="26" spans="1:24" s="101" customFormat="1" ht="24.75" thickBot="1" x14ac:dyDescent="0.3">
      <c r="A26" s="98"/>
      <c r="B26" s="55">
        <f t="shared" si="1"/>
        <v>17</v>
      </c>
      <c r="C26" s="62" t="s">
        <v>164</v>
      </c>
      <c r="D26" s="64" t="s">
        <v>26</v>
      </c>
      <c r="E26" s="50" t="s">
        <v>57</v>
      </c>
      <c r="F26" s="64" t="s">
        <v>81</v>
      </c>
      <c r="G26" s="97">
        <v>61300611121</v>
      </c>
      <c r="H26" s="64" t="s">
        <v>122</v>
      </c>
      <c r="I26" s="50" t="s">
        <v>197</v>
      </c>
      <c r="J26" s="72" t="s">
        <v>197</v>
      </c>
      <c r="K26" s="50" t="s">
        <v>176</v>
      </c>
      <c r="L26" s="64">
        <v>1</v>
      </c>
      <c r="M26" s="122">
        <f t="shared" si="2"/>
        <v>5000</v>
      </c>
      <c r="N26" s="64">
        <v>5100</v>
      </c>
      <c r="O26" s="94" t="s">
        <v>152</v>
      </c>
      <c r="P26" s="90">
        <v>1.55E-2</v>
      </c>
      <c r="Q26" s="99">
        <f t="shared" si="0"/>
        <v>79.05</v>
      </c>
      <c r="R26" s="50"/>
      <c r="S26" s="100"/>
      <c r="X26"/>
    </row>
    <row r="27" spans="1:24" s="101" customFormat="1" ht="15.75" thickBot="1" x14ac:dyDescent="0.3">
      <c r="A27" s="98"/>
      <c r="B27" s="55">
        <f>ROW(B27) - ROW($B$9)</f>
        <v>18</v>
      </c>
      <c r="C27" s="53" t="s">
        <v>166</v>
      </c>
      <c r="D27" s="41" t="s">
        <v>27</v>
      </c>
      <c r="E27" s="40" t="s">
        <v>58</v>
      </c>
      <c r="F27" s="41" t="s">
        <v>82</v>
      </c>
      <c r="G27" s="95" t="s">
        <v>106</v>
      </c>
      <c r="H27" s="41" t="s">
        <v>119</v>
      </c>
      <c r="I27" s="70" t="s">
        <v>182</v>
      </c>
      <c r="J27" s="75" t="s">
        <v>181</v>
      </c>
      <c r="K27" s="40" t="s">
        <v>141</v>
      </c>
      <c r="L27" s="41">
        <v>3</v>
      </c>
      <c r="M27" s="40">
        <f t="shared" si="2"/>
        <v>15000</v>
      </c>
      <c r="N27" s="41">
        <v>15100</v>
      </c>
      <c r="O27" s="96" t="s">
        <v>152</v>
      </c>
      <c r="P27" s="89">
        <v>6.9999999999999999E-4</v>
      </c>
      <c r="Q27" s="102">
        <f t="shared" si="0"/>
        <v>10.57</v>
      </c>
      <c r="R27" s="40"/>
      <c r="S27" s="103"/>
      <c r="X27"/>
    </row>
    <row r="28" spans="1:24" s="101" customFormat="1" ht="15.75" thickBot="1" x14ac:dyDescent="0.3">
      <c r="A28" s="98"/>
      <c r="B28" s="55">
        <f t="shared" si="1"/>
        <v>19</v>
      </c>
      <c r="C28" s="62" t="s">
        <v>166</v>
      </c>
      <c r="D28" s="64" t="s">
        <v>28</v>
      </c>
      <c r="E28" s="50" t="s">
        <v>59</v>
      </c>
      <c r="F28" s="64" t="s">
        <v>82</v>
      </c>
      <c r="G28" s="50" t="s">
        <v>107</v>
      </c>
      <c r="H28" s="64" t="s">
        <v>114</v>
      </c>
      <c r="I28" s="50" t="s">
        <v>176</v>
      </c>
      <c r="J28" s="72" t="s">
        <v>183</v>
      </c>
      <c r="K28" s="50" t="s">
        <v>142</v>
      </c>
      <c r="L28" s="64">
        <v>3</v>
      </c>
      <c r="M28" s="122">
        <f t="shared" si="2"/>
        <v>15000</v>
      </c>
      <c r="N28" s="64">
        <v>15100</v>
      </c>
      <c r="O28" s="83" t="s">
        <v>152</v>
      </c>
      <c r="P28" s="90">
        <v>5.9999999999999995E-4</v>
      </c>
      <c r="Q28" s="99">
        <f t="shared" si="0"/>
        <v>9.0599999999999987</v>
      </c>
      <c r="R28" s="50"/>
      <c r="S28" s="100"/>
      <c r="X28"/>
    </row>
    <row r="29" spans="1:24" s="101" customFormat="1" ht="15.75" thickBot="1" x14ac:dyDescent="0.3">
      <c r="A29" s="98"/>
      <c r="B29" s="55">
        <f>ROW(B29) - ROW($B$9)</f>
        <v>20</v>
      </c>
      <c r="C29" s="53" t="s">
        <v>166</v>
      </c>
      <c r="D29" s="41" t="s">
        <v>29</v>
      </c>
      <c r="E29" s="40" t="s">
        <v>60</v>
      </c>
      <c r="F29" s="41" t="s">
        <v>82</v>
      </c>
      <c r="G29" s="40" t="s">
        <v>108</v>
      </c>
      <c r="H29" s="41" t="s">
        <v>114</v>
      </c>
      <c r="I29" s="40" t="s">
        <v>176</v>
      </c>
      <c r="J29" s="75" t="s">
        <v>184</v>
      </c>
      <c r="K29" s="40" t="s">
        <v>143</v>
      </c>
      <c r="L29" s="41">
        <v>2</v>
      </c>
      <c r="M29" s="40">
        <f t="shared" si="2"/>
        <v>10000</v>
      </c>
      <c r="N29" s="41">
        <v>10100</v>
      </c>
      <c r="O29" s="84" t="s">
        <v>152</v>
      </c>
      <c r="P29" s="89">
        <v>5.9999999999999995E-4</v>
      </c>
      <c r="Q29" s="102">
        <f t="shared" si="0"/>
        <v>6.06</v>
      </c>
      <c r="R29" s="40"/>
      <c r="S29" s="103"/>
      <c r="X29"/>
    </row>
    <row r="30" spans="1:24" s="101" customFormat="1" ht="15.75" thickBot="1" x14ac:dyDescent="0.3">
      <c r="A30" s="98"/>
      <c r="B30" s="55">
        <f t="shared" si="1"/>
        <v>21</v>
      </c>
      <c r="C30" s="62" t="s">
        <v>166</v>
      </c>
      <c r="D30" s="64" t="s">
        <v>30</v>
      </c>
      <c r="E30" s="50" t="s">
        <v>61</v>
      </c>
      <c r="F30" s="64" t="s">
        <v>82</v>
      </c>
      <c r="G30" s="50" t="s">
        <v>109</v>
      </c>
      <c r="H30" s="64" t="s">
        <v>114</v>
      </c>
      <c r="I30" s="50" t="s">
        <v>176</v>
      </c>
      <c r="J30" s="72" t="s">
        <v>198</v>
      </c>
      <c r="K30" s="50" t="s">
        <v>144</v>
      </c>
      <c r="L30" s="64">
        <v>1</v>
      </c>
      <c r="M30" s="122">
        <f t="shared" si="2"/>
        <v>5000</v>
      </c>
      <c r="N30" s="64">
        <v>5100</v>
      </c>
      <c r="O30" s="94" t="s">
        <v>152</v>
      </c>
      <c r="P30" s="90">
        <v>6.9999999999999999E-4</v>
      </c>
      <c r="Q30" s="99">
        <f t="shared" si="0"/>
        <v>3.57</v>
      </c>
      <c r="R30" s="50"/>
      <c r="S30" s="100"/>
      <c r="X30"/>
    </row>
    <row r="31" spans="1:24" s="101" customFormat="1" ht="96.75" thickBot="1" x14ac:dyDescent="0.3">
      <c r="A31" s="98"/>
      <c r="B31" s="55">
        <f>ROW(B31) - ROW($B$9)</f>
        <v>22</v>
      </c>
      <c r="C31" s="53" t="s">
        <v>167</v>
      </c>
      <c r="D31" s="41" t="s">
        <v>31</v>
      </c>
      <c r="E31" s="40" t="s">
        <v>62</v>
      </c>
      <c r="F31" s="41" t="s">
        <v>175</v>
      </c>
      <c r="G31" s="40" t="s">
        <v>83</v>
      </c>
      <c r="H31" s="41" t="s">
        <v>176</v>
      </c>
      <c r="I31" s="40" t="s">
        <v>176</v>
      </c>
      <c r="J31" s="41" t="s">
        <v>176</v>
      </c>
      <c r="K31" s="40" t="s">
        <v>176</v>
      </c>
      <c r="L31" s="41">
        <v>48</v>
      </c>
      <c r="M31" s="40">
        <f t="shared" si="2"/>
        <v>240000</v>
      </c>
      <c r="N31" s="41" t="s">
        <v>176</v>
      </c>
      <c r="O31" s="51" t="s">
        <v>176</v>
      </c>
      <c r="P31" s="89" t="s">
        <v>176</v>
      </c>
      <c r="Q31" s="102" t="s">
        <v>176</v>
      </c>
      <c r="R31" s="40" t="s">
        <v>176</v>
      </c>
      <c r="S31" s="108" t="s">
        <v>176</v>
      </c>
      <c r="X31"/>
    </row>
    <row r="32" spans="1:24" s="101" customFormat="1" ht="36.75" thickBot="1" x14ac:dyDescent="0.3">
      <c r="A32" s="98"/>
      <c r="B32" s="55">
        <f t="shared" si="1"/>
        <v>23</v>
      </c>
      <c r="C32" s="62" t="s">
        <v>168</v>
      </c>
      <c r="D32" s="64" t="s">
        <v>32</v>
      </c>
      <c r="E32" s="50" t="s">
        <v>63</v>
      </c>
      <c r="F32" s="64" t="s">
        <v>175</v>
      </c>
      <c r="G32" s="104" t="s">
        <v>84</v>
      </c>
      <c r="H32" s="64" t="s">
        <v>120</v>
      </c>
      <c r="I32" s="50" t="s">
        <v>176</v>
      </c>
      <c r="J32" s="72" t="s">
        <v>176</v>
      </c>
      <c r="K32" s="50" t="s">
        <v>176</v>
      </c>
      <c r="L32" s="64">
        <v>1</v>
      </c>
      <c r="M32" s="122">
        <f t="shared" si="2"/>
        <v>5000</v>
      </c>
      <c r="N32" s="64">
        <v>5050</v>
      </c>
      <c r="O32" s="94" t="s">
        <v>212</v>
      </c>
      <c r="P32" s="90">
        <v>1.2E-2</v>
      </c>
      <c r="Q32" s="99">
        <f t="shared" ref="Q32:Q39" si="3">P32*N32</f>
        <v>60.6</v>
      </c>
      <c r="R32" s="50"/>
      <c r="S32" s="100"/>
      <c r="X32"/>
    </row>
    <row r="33" spans="1:24" s="101" customFormat="1" ht="24.75" thickBot="1" x14ac:dyDescent="0.3">
      <c r="A33" s="98"/>
      <c r="B33" s="55">
        <f>ROW(B33) - ROW($B$9)</f>
        <v>24</v>
      </c>
      <c r="C33" s="53" t="s">
        <v>9</v>
      </c>
      <c r="D33" s="41" t="s">
        <v>33</v>
      </c>
      <c r="E33" s="40" t="s">
        <v>64</v>
      </c>
      <c r="F33" s="41" t="s">
        <v>175</v>
      </c>
      <c r="G33" s="40" t="s">
        <v>85</v>
      </c>
      <c r="H33" s="41" t="s">
        <v>123</v>
      </c>
      <c r="I33" s="40" t="s">
        <v>176</v>
      </c>
      <c r="J33" s="41" t="s">
        <v>176</v>
      </c>
      <c r="K33" s="40" t="s">
        <v>176</v>
      </c>
      <c r="L33" s="41">
        <v>1</v>
      </c>
      <c r="M33" s="40">
        <f t="shared" si="2"/>
        <v>5000</v>
      </c>
      <c r="N33" s="41">
        <v>5020</v>
      </c>
      <c r="O33" s="80" t="s">
        <v>212</v>
      </c>
      <c r="P33" s="89">
        <v>3.12</v>
      </c>
      <c r="Q33" s="102">
        <f t="shared" si="3"/>
        <v>15662.4</v>
      </c>
      <c r="R33" s="40"/>
      <c r="S33" s="103"/>
      <c r="X33"/>
    </row>
    <row r="34" spans="1:24" s="101" customFormat="1" ht="36.75" thickBot="1" x14ac:dyDescent="0.3">
      <c r="A34" s="98"/>
      <c r="B34" s="55">
        <f t="shared" si="1"/>
        <v>25</v>
      </c>
      <c r="C34" s="62" t="s">
        <v>169</v>
      </c>
      <c r="D34" s="64" t="s">
        <v>34</v>
      </c>
      <c r="E34" s="50" t="s">
        <v>65</v>
      </c>
      <c r="F34" s="64" t="s">
        <v>86</v>
      </c>
      <c r="G34" s="50" t="s">
        <v>110</v>
      </c>
      <c r="H34" s="64" t="s">
        <v>124</v>
      </c>
      <c r="I34" s="50" t="s">
        <v>176</v>
      </c>
      <c r="J34" s="76" t="s">
        <v>179</v>
      </c>
      <c r="K34" s="50" t="s">
        <v>176</v>
      </c>
      <c r="L34" s="64">
        <v>1</v>
      </c>
      <c r="M34" s="122">
        <f t="shared" si="2"/>
        <v>5000</v>
      </c>
      <c r="N34" s="64">
        <v>5020</v>
      </c>
      <c r="O34" s="94" t="s">
        <v>152</v>
      </c>
      <c r="P34" s="90">
        <v>0.29759999999999998</v>
      </c>
      <c r="Q34" s="99">
        <f t="shared" si="3"/>
        <v>1493.9519999999998</v>
      </c>
      <c r="R34" s="50"/>
      <c r="S34" s="100"/>
      <c r="X34"/>
    </row>
    <row r="35" spans="1:24" s="101" customFormat="1" ht="24.75" thickBot="1" x14ac:dyDescent="0.3">
      <c r="A35" s="98"/>
      <c r="B35" s="55">
        <f>ROW(B35) - ROW($B$9)</f>
        <v>26</v>
      </c>
      <c r="C35" s="53" t="s">
        <v>169</v>
      </c>
      <c r="D35" s="41" t="s">
        <v>35</v>
      </c>
      <c r="E35" s="40" t="s">
        <v>66</v>
      </c>
      <c r="F35" s="41" t="s">
        <v>87</v>
      </c>
      <c r="G35" s="40" t="s">
        <v>111</v>
      </c>
      <c r="H35" s="41" t="s">
        <v>118</v>
      </c>
      <c r="I35" s="40" t="s">
        <v>176</v>
      </c>
      <c r="J35" s="41" t="s">
        <v>176</v>
      </c>
      <c r="K35" s="40" t="s">
        <v>176</v>
      </c>
      <c r="L35" s="41">
        <v>1</v>
      </c>
      <c r="M35" s="40">
        <f t="shared" si="2"/>
        <v>5000</v>
      </c>
      <c r="N35" s="41">
        <v>5020</v>
      </c>
      <c r="O35" s="80" t="s">
        <v>212</v>
      </c>
      <c r="P35" s="89">
        <v>14.82</v>
      </c>
      <c r="Q35" s="102">
        <f t="shared" si="3"/>
        <v>74396.399999999994</v>
      </c>
      <c r="R35" s="40"/>
      <c r="S35" s="103"/>
      <c r="X35"/>
    </row>
    <row r="36" spans="1:24" s="101" customFormat="1" ht="39" thickBot="1" x14ac:dyDescent="0.3">
      <c r="A36" s="98"/>
      <c r="B36" s="55">
        <f t="shared" si="1"/>
        <v>27</v>
      </c>
      <c r="C36" s="62" t="s">
        <v>169</v>
      </c>
      <c r="D36" s="64" t="s">
        <v>36</v>
      </c>
      <c r="E36" s="50" t="s">
        <v>67</v>
      </c>
      <c r="F36" s="64" t="s">
        <v>186</v>
      </c>
      <c r="G36" s="50" t="s">
        <v>88</v>
      </c>
      <c r="H36" s="64" t="s">
        <v>118</v>
      </c>
      <c r="I36" s="50" t="s">
        <v>176</v>
      </c>
      <c r="J36" s="72" t="s">
        <v>199</v>
      </c>
      <c r="K36" s="50" t="s">
        <v>176</v>
      </c>
      <c r="L36" s="64">
        <v>2</v>
      </c>
      <c r="M36" s="122">
        <f t="shared" si="2"/>
        <v>10000</v>
      </c>
      <c r="N36" s="64">
        <v>10050</v>
      </c>
      <c r="O36" s="133" t="s">
        <v>152</v>
      </c>
      <c r="P36" s="90">
        <v>2.6855000000000002</v>
      </c>
      <c r="Q36" s="135">
        <f t="shared" si="3"/>
        <v>26989.275000000001</v>
      </c>
      <c r="R36" s="138" t="s">
        <v>218</v>
      </c>
      <c r="S36" s="100"/>
      <c r="X36"/>
    </row>
    <row r="37" spans="1:24" s="101" customFormat="1" ht="39" thickBot="1" x14ac:dyDescent="0.3">
      <c r="A37" s="98"/>
      <c r="B37" s="55">
        <f>ROW(B37) - ROW($B$9)</f>
        <v>28</v>
      </c>
      <c r="C37" s="53" t="s">
        <v>169</v>
      </c>
      <c r="D37" s="41" t="s">
        <v>37</v>
      </c>
      <c r="E37" s="40" t="s">
        <v>68</v>
      </c>
      <c r="F37" s="41" t="s">
        <v>200</v>
      </c>
      <c r="G37" s="40" t="s">
        <v>89</v>
      </c>
      <c r="H37" s="41" t="s">
        <v>125</v>
      </c>
      <c r="I37" s="40" t="s">
        <v>176</v>
      </c>
      <c r="J37" s="77" t="s">
        <v>180</v>
      </c>
      <c r="K37" s="40" t="s">
        <v>176</v>
      </c>
      <c r="L37" s="41">
        <v>1</v>
      </c>
      <c r="M37" s="40">
        <f t="shared" si="2"/>
        <v>5000</v>
      </c>
      <c r="N37" s="41">
        <v>5020</v>
      </c>
      <c r="O37" s="80" t="s">
        <v>152</v>
      </c>
      <c r="P37" s="89">
        <v>3.8199999999999998E-2</v>
      </c>
      <c r="Q37" s="102">
        <f t="shared" si="3"/>
        <v>191.76399999999998</v>
      </c>
      <c r="R37" s="139" t="s">
        <v>218</v>
      </c>
      <c r="S37" s="103"/>
      <c r="X37"/>
    </row>
    <row r="38" spans="1:24" s="101" customFormat="1" ht="48.75" thickBot="1" x14ac:dyDescent="0.3">
      <c r="A38" s="98"/>
      <c r="B38" s="55">
        <f t="shared" si="1"/>
        <v>29</v>
      </c>
      <c r="C38" s="62" t="s">
        <v>170</v>
      </c>
      <c r="D38" s="64" t="s">
        <v>38</v>
      </c>
      <c r="E38" s="50" t="s">
        <v>69</v>
      </c>
      <c r="F38" s="64" t="s">
        <v>175</v>
      </c>
      <c r="G38" s="50" t="s">
        <v>90</v>
      </c>
      <c r="H38" s="64" t="s">
        <v>126</v>
      </c>
      <c r="I38" s="50" t="s">
        <v>176</v>
      </c>
      <c r="J38" s="78" t="s">
        <v>177</v>
      </c>
      <c r="K38" s="50" t="s">
        <v>187</v>
      </c>
      <c r="L38" s="64">
        <v>1</v>
      </c>
      <c r="M38" s="122">
        <f t="shared" si="2"/>
        <v>5000</v>
      </c>
      <c r="N38" s="64">
        <v>5020</v>
      </c>
      <c r="O38" s="94" t="s">
        <v>152</v>
      </c>
      <c r="P38" s="90">
        <v>0.10050000000000001</v>
      </c>
      <c r="Q38" s="99">
        <f t="shared" si="3"/>
        <v>504.51000000000005</v>
      </c>
      <c r="R38" s="138" t="s">
        <v>218</v>
      </c>
      <c r="S38" s="100"/>
      <c r="X38"/>
    </row>
    <row r="39" spans="1:24" s="101" customFormat="1" ht="39" thickBot="1" x14ac:dyDescent="0.3">
      <c r="A39" s="98"/>
      <c r="B39" s="55">
        <f>ROW(B39) - ROW($B$9)</f>
        <v>30</v>
      </c>
      <c r="C39" s="63" t="s">
        <v>170</v>
      </c>
      <c r="D39" s="67" t="s">
        <v>39</v>
      </c>
      <c r="E39" s="65" t="s">
        <v>70</v>
      </c>
      <c r="F39" s="67" t="s">
        <v>175</v>
      </c>
      <c r="G39" s="65" t="s">
        <v>91</v>
      </c>
      <c r="H39" s="67" t="s">
        <v>127</v>
      </c>
      <c r="I39" s="65" t="s">
        <v>176</v>
      </c>
      <c r="J39" s="79" t="s">
        <v>178</v>
      </c>
      <c r="K39" s="65" t="s">
        <v>188</v>
      </c>
      <c r="L39" s="67">
        <v>2</v>
      </c>
      <c r="M39" s="65">
        <f t="shared" si="2"/>
        <v>10000</v>
      </c>
      <c r="N39" s="67">
        <v>5020</v>
      </c>
      <c r="O39" s="80" t="s">
        <v>152</v>
      </c>
      <c r="P39" s="91">
        <v>4.0500000000000001E-2</v>
      </c>
      <c r="Q39" s="105">
        <f t="shared" si="3"/>
        <v>203.31</v>
      </c>
      <c r="R39" s="140" t="s">
        <v>218</v>
      </c>
      <c r="S39" s="106"/>
      <c r="X39"/>
    </row>
    <row r="40" spans="1:24" ht="19.5" thickBot="1" x14ac:dyDescent="0.3">
      <c r="A40" s="1"/>
      <c r="B40" s="66"/>
      <c r="C40" s="56"/>
      <c r="D40" s="57"/>
      <c r="E40" s="58"/>
      <c r="F40" s="59"/>
      <c r="G40" s="60"/>
      <c r="H40" s="59"/>
      <c r="I40" s="60"/>
      <c r="J40" s="59"/>
      <c r="K40" s="60"/>
      <c r="L40" s="60"/>
      <c r="M40" s="60"/>
      <c r="N40" s="149" t="s">
        <v>209</v>
      </c>
      <c r="O40" s="150"/>
      <c r="P40" s="150"/>
      <c r="Q40" s="124">
        <f>SUM(Q10:Q39)</f>
        <v>186903.826</v>
      </c>
      <c r="R40" s="145"/>
      <c r="S40" s="146"/>
    </row>
    <row r="41" spans="1:24" ht="19.5" thickBot="1" x14ac:dyDescent="0.3">
      <c r="A41" s="1"/>
      <c r="B41" s="25"/>
      <c r="C41" s="37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49" t="s">
        <v>210</v>
      </c>
      <c r="O41" s="150"/>
      <c r="P41" s="150"/>
      <c r="Q41" s="125">
        <f>Q40/5000</f>
        <v>37.380765199999999</v>
      </c>
      <c r="R41" s="147"/>
      <c r="S41" s="148"/>
    </row>
  </sheetData>
  <mergeCells count="5">
    <mergeCell ref="K1:S1"/>
    <mergeCell ref="S3:S8"/>
    <mergeCell ref="R40:S41"/>
    <mergeCell ref="N40:P40"/>
    <mergeCell ref="N41:P41"/>
  </mergeCells>
  <conditionalFormatting sqref="O13 O31 O33 O15 O17 O19 O3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{18996F9E-8E2B-433C-B3A9-29AF915E5354}</x14:id>
        </ext>
      </extLst>
    </cfRule>
  </conditionalFormatting>
  <conditionalFormatting sqref="O21:O2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{7BDF827A-9CCF-4430-82C7-768A27027DE3}</x14:id>
        </ext>
      </extLst>
    </cfRule>
  </conditionalFormatting>
  <conditionalFormatting sqref="O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{865DEABC-E565-46BF-A663-3F13AE59723A}</x14:id>
        </ext>
      </extLst>
    </cfRule>
  </conditionalFormatting>
  <conditionalFormatting sqref="O3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{EB6BCFD5-D963-432D-A89C-CB433084A942}</x14:id>
        </ext>
      </extLst>
    </cfRule>
  </conditionalFormatting>
  <conditionalFormatting sqref="O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{AC17FB22-DB24-4A48-B8C8-942C74DFECA3}</x14:id>
        </ext>
      </extLst>
    </cfRule>
  </conditionalFormatting>
  <hyperlinks>
    <hyperlink ref="O10" r:id="rId1" xr:uid="{180E4F65-C152-40CE-AB63-CCC675C84AB8}"/>
    <hyperlink ref="O11" r:id="rId2" xr:uid="{3A1F43EE-DF0B-44B4-A656-CE06E69A61C2}"/>
    <hyperlink ref="O12" r:id="rId3" xr:uid="{49429135-EA2A-4B4D-A119-3C8151271563}"/>
    <hyperlink ref="O14" r:id="rId4" xr:uid="{96318EB7-0496-40E2-A310-13A28DCAD5B5}"/>
    <hyperlink ref="O15" r:id="rId5" xr:uid="{8D4BAABA-47D7-4EDA-A6E1-11B5438723FD}"/>
    <hyperlink ref="O16" r:id="rId6" xr:uid="{AA9D140F-4D36-4592-84DF-3DD805071310}"/>
    <hyperlink ref="O17" r:id="rId7" xr:uid="{573B20E9-D3A1-4323-98F4-73269DC364FC}"/>
    <hyperlink ref="O19" r:id="rId8" xr:uid="{0924B797-C63D-491F-8F1B-79E1EC12E4AE}"/>
    <hyperlink ref="O21" r:id="rId9" xr:uid="{B21B93E1-4C49-41F3-84F1-BBAA27E3BE9B}"/>
    <hyperlink ref="O22" r:id="rId10" xr:uid="{1075DD94-9AFF-4075-BAF5-3B3773C2DDF0}"/>
    <hyperlink ref="O38" r:id="rId11" xr:uid="{3EEFCC48-686E-47C8-B7B8-E9E1C2DAFDA3}"/>
    <hyperlink ref="O39" r:id="rId12" xr:uid="{01DE47D8-FCD2-4A50-BDE1-30AAC5145A11}"/>
    <hyperlink ref="O34" r:id="rId13" xr:uid="{2AD914F5-A895-4E0B-9F83-5AED7AEAD741}"/>
    <hyperlink ref="O37" r:id="rId14" xr:uid="{3ED337E1-DBE6-4820-AFE1-8EAD432DAC00}"/>
    <hyperlink ref="O27" r:id="rId15" xr:uid="{B22C7605-5FFC-4FB9-860B-A31FAB521735}"/>
    <hyperlink ref="O28" r:id="rId16" xr:uid="{0748075E-9E35-4ACF-8505-EA044D27BFDB}"/>
    <hyperlink ref="O29" r:id="rId17" xr:uid="{38BD8283-B7F5-440F-8E55-273DC274C858}"/>
    <hyperlink ref="O13" r:id="rId18" xr:uid="{ACB7EA74-DC46-4E8E-8B6B-C136A8E53E22}"/>
    <hyperlink ref="O18" r:id="rId19" xr:uid="{45F79932-22EE-44A9-94B1-C34664FDC1D4}"/>
    <hyperlink ref="O20" r:id="rId20" xr:uid="{78F083A5-11A9-4468-801A-729FDA85826B}"/>
    <hyperlink ref="O23" r:id="rId21" xr:uid="{9D6D906C-6FF5-4464-B8EC-9797740B30E5}"/>
    <hyperlink ref="O24" r:id="rId22" xr:uid="{5ED73709-63B8-410D-81BB-E3384DFF6150}"/>
    <hyperlink ref="O26" r:id="rId23" xr:uid="{260528D6-F7D9-4C5B-9808-0D61E9031FAD}"/>
    <hyperlink ref="O30" r:id="rId24" xr:uid="{45EB2636-CD73-4B4B-AFC5-733A0A0E6D3D}"/>
    <hyperlink ref="O33" r:id="rId25" display="LCSC" xr:uid="{8ACB1CF9-90A7-4871-BE83-A0BE5DD099AF}"/>
    <hyperlink ref="O36" r:id="rId26" xr:uid="{B33148BA-8C8B-4B3F-8EE4-C64AB425EC1D}"/>
  </hyperlinks>
  <pageMargins left="0.7" right="0.7" top="0.75" bottom="0.75" header="0.3" footer="0.3"/>
  <drawing r:id="rId2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996F9E-8E2B-433C-B3A9-29AF915E53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 O31 O33 O15 O17 O19 O35</xm:sqref>
        </x14:conditionalFormatting>
        <x14:conditionalFormatting xmlns:xm="http://schemas.microsoft.com/office/excel/2006/main">
          <x14:cfRule type="dataBar" id="{7BDF827A-9CCF-4430-82C7-768A27027D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865DEABC-E565-46BF-A663-3F13AE5972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EB6BCFD5-D963-432D-A89C-CB433084A9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AC17FB22-DB24-4A48-B8C8-942C74DFEC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 Boards</vt:lpstr>
      <vt:lpstr>1000 Boards</vt:lpstr>
      <vt:lpstr>5000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2022-12-13T13:02:15Z</dcterms:modified>
</cp:coreProperties>
</file>