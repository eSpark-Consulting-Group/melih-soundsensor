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eSpark\Melih-SoundSensor\Deliverables\BOM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<sst xmlns="http://schemas.openxmlformats.org/spreadsheetml/2006/main" count="309" uniqueCount="242">
  <si>
    <t>S. No.</t>
  </si>
  <si>
    <t>Components</t>
  </si>
  <si>
    <t>Description</t>
  </si>
  <si>
    <t>Designator</t>
  </si>
  <si>
    <t>Footprint (Package)</t>
  </si>
  <si>
    <t>Manufacturer Part Number</t>
  </si>
  <si>
    <t xml:space="preserve">LCSC Part No </t>
  </si>
  <si>
    <t>Value</t>
  </si>
  <si>
    <t>Quantity (Per Board)</t>
  </si>
  <si>
    <t>Capacitor</t>
  </si>
  <si>
    <t>1uF</t>
  </si>
  <si>
    <t>CAP CER 0.1UF 100V X7R 0603</t>
  </si>
  <si>
    <t>CC0603KRX7R0BB104</t>
  </si>
  <si>
    <t>0.1uF</t>
  </si>
  <si>
    <t>10uF</t>
  </si>
  <si>
    <t>CAP CER 4.7UF 25V X5R 0603</t>
  </si>
  <si>
    <t>-----</t>
  </si>
  <si>
    <t>Resistor</t>
  </si>
  <si>
    <t>Res0603</t>
  </si>
  <si>
    <t>10K</t>
  </si>
  <si>
    <t>Switch</t>
  </si>
  <si>
    <t>SW1</t>
  </si>
  <si>
    <t>Custom</t>
  </si>
  <si>
    <t>U4</t>
  </si>
  <si>
    <t>U3</t>
  </si>
  <si>
    <t>Crystal</t>
  </si>
  <si>
    <t>X1</t>
  </si>
  <si>
    <t>J3</t>
  </si>
  <si>
    <t>Solder Bridge ON</t>
  </si>
  <si>
    <t>Solder Bridge</t>
  </si>
  <si>
    <t>--------</t>
  </si>
  <si>
    <t>-------</t>
  </si>
  <si>
    <t>J1</t>
  </si>
  <si>
    <t>J2</t>
  </si>
  <si>
    <t>CAP CER 10UF 25V X5R 0603</t>
  </si>
  <si>
    <t>Cap 0603</t>
  </si>
  <si>
    <t>CL10A106MA8NRNC</t>
  </si>
  <si>
    <t>C2</t>
  </si>
  <si>
    <t>CL10A475KA8NQNC</t>
  </si>
  <si>
    <t>CAP CER 1UF 25V X5R 0603</t>
  </si>
  <si>
    <t>CC0603KRX5R8BB105</t>
  </si>
  <si>
    <t>CAP CER 220PF 50V C0G/NPO 0402</t>
  </si>
  <si>
    <t>C4, C6, C8, C10, C12, C14, C16, C18</t>
  </si>
  <si>
    <t>Cap0402</t>
  </si>
  <si>
    <t>CC0402JRNPO9BN221</t>
  </si>
  <si>
    <t>CAP CER 0.22UF 50V X7S 0603</t>
  </si>
  <si>
    <t>C36</t>
  </si>
  <si>
    <t>UMK107C7224KAHTE</t>
  </si>
  <si>
    <t>CAP SMD 18pF ±5.0% 50V NPO 0603</t>
  </si>
  <si>
    <t>C43, C44, C61, C62, C73, C74</t>
  </si>
  <si>
    <t>CC0603JRNPO9BN180</t>
  </si>
  <si>
    <t>CAP CER 0.68uF 25V X7R 10% 0603 Paper T/R</t>
  </si>
  <si>
    <t>C45, C46, C47, C48, C49, C50, C51, C52, C60, C63, C64, C65, C66, C67, C68, C69</t>
  </si>
  <si>
    <t>CC0603KRX7R8BB684</t>
  </si>
  <si>
    <t>4.7UF</t>
  </si>
  <si>
    <t>220pF</t>
  </si>
  <si>
    <t>220nF</t>
  </si>
  <si>
    <t>18pF</t>
  </si>
  <si>
    <t>680nF</t>
  </si>
  <si>
    <t>MICROPHONE MEMS ANALOG NC -32DB</t>
  </si>
  <si>
    <t>MK1, MK2, MK3, MK4, MK5, MK6, MK7, MK8</t>
  </si>
  <si>
    <t>ICS-40730</t>
  </si>
  <si>
    <t xml:space="preserve">Microphone </t>
  </si>
  <si>
    <t>3mm 2mm Round Button 50mA Top3.65mm SPST 12V SMD Tactile Switches</t>
  </si>
  <si>
    <t>TS-1185EC-C-D-B</t>
  </si>
  <si>
    <t>8.192MHz SMD Crystal Resonator 12pF 150Ω ±10ppm ±30ppm -40℃~+85℃ SMD_3225_4P Crystals ROHS</t>
  </si>
  <si>
    <t>3TJ481920NYLBC</t>
  </si>
  <si>
    <t>24.576MHz SMD Crystal Resonator 12pF 60Ω ±10ppm -40℃~+85℃ SMD3225-4P Crystals ROHS</t>
  </si>
  <si>
    <t>X2, X3</t>
  </si>
  <si>
    <t>S3224576121060</t>
  </si>
  <si>
    <t>RES SMD 100K OHM 5% 1/5W 0603</t>
  </si>
  <si>
    <t>RES SMD 10K OHM 1% 1/10W 0603</t>
  </si>
  <si>
    <t>RC0603FR-0710KL</t>
  </si>
  <si>
    <t>100K</t>
  </si>
  <si>
    <t>IC OR CTRLR IDEAL DIODE SC70-6</t>
  </si>
  <si>
    <t>U1, U2</t>
  </si>
  <si>
    <t>SC70-6</t>
  </si>
  <si>
    <t>LM66100DCKR</t>
  </si>
  <si>
    <t>Linear Voltage Regulator IC Positive Fixed 1 Output 3.3V 1A SOT-25</t>
  </si>
  <si>
    <t>SOT-25</t>
  </si>
  <si>
    <t>XC6220B331MR-G</t>
  </si>
  <si>
    <t>IC ADC 24BIT SIGMA-DELTA 32TQFP</t>
  </si>
  <si>
    <t>32TQFP</t>
  </si>
  <si>
    <t>ADS131M08IPBSR</t>
  </si>
  <si>
    <t>IC ADC/AUDIO 24BIT 192K 30TSSOP</t>
  </si>
  <si>
    <t>U5, U6</t>
  </si>
  <si>
    <t>PCM1865DBTR</t>
  </si>
  <si>
    <t>2 NPN pre-biased (Dual) 150mW 100mA 50V SC-70-6(SOT-363) Digital Transistors ROHS</t>
  </si>
  <si>
    <t>U13</t>
  </si>
  <si>
    <t>UMH3N</t>
  </si>
  <si>
    <t>IC</t>
  </si>
  <si>
    <t>05P MTA100 HDR ASSY (NARROW)</t>
  </si>
  <si>
    <t>3-644456-5</t>
  </si>
  <si>
    <t>2 PIN JST Connector</t>
  </si>
  <si>
    <t xml:space="preserve">Connector </t>
  </si>
  <si>
    <t>C2922482</t>
  </si>
  <si>
    <t>C69335</t>
  </si>
  <si>
    <t>C14664</t>
  </si>
  <si>
    <t>C107001</t>
  </si>
  <si>
    <t>C113803</t>
  </si>
  <si>
    <t>C386159</t>
  </si>
  <si>
    <t>C107040</t>
  </si>
  <si>
    <t>C2838708</t>
  </si>
  <si>
    <t>C318893</t>
  </si>
  <si>
    <t>C2898996</t>
  </si>
  <si>
    <t>C390772</t>
  </si>
  <si>
    <t xml:space="preserve">RS-03K104JT
</t>
  </si>
  <si>
    <t>C73806</t>
  </si>
  <si>
    <t>C98220</t>
  </si>
  <si>
    <t>C2869734</t>
  </si>
  <si>
    <t>C86534</t>
  </si>
  <si>
    <t>30TSSOP</t>
  </si>
  <si>
    <t>SOT-363</t>
  </si>
  <si>
    <t>C62892</t>
  </si>
  <si>
    <t>C390683</t>
  </si>
  <si>
    <t xml:space="preserve">C2904969
</t>
  </si>
  <si>
    <t>------</t>
  </si>
  <si>
    <t xml:space="preserve">XHB-2A
</t>
  </si>
  <si>
    <t>Bill of Material (BOM) for Melih Sound_Sensor</t>
  </si>
  <si>
    <t>Peripherals</t>
  </si>
  <si>
    <t>Battery</t>
  </si>
  <si>
    <t>C3, C5, C7, C9, C11, C13, C15, C17, C27, C29, C53, C55, C70, C72, C76, C78, C85, C#1, C#2</t>
  </si>
  <si>
    <t>CAP CER 22PF 50V C0G/NP0 0402</t>
  </si>
  <si>
    <t>C19, C20</t>
  </si>
  <si>
    <t>Cap 0402</t>
  </si>
  <si>
    <t>C1, C56, C57,C75</t>
  </si>
  <si>
    <t>CAP CER 100PF 25V X7R 0603</t>
  </si>
  <si>
    <t>C80</t>
  </si>
  <si>
    <t>CC0603KRX7R8BB101</t>
  </si>
  <si>
    <t>CAP CER 3300PF 50V X7R 0402</t>
  </si>
  <si>
    <t>C83</t>
  </si>
  <si>
    <t>40MHz SMD Crystal Resonator 15pF ±10ppm ±30ppm -40℃~+85℃ SMD3225-4P Crystals ROHS</t>
  </si>
  <si>
    <t>X4</t>
  </si>
  <si>
    <t>X322540MPB4SI</t>
  </si>
  <si>
    <t>R1, R2, R3</t>
  </si>
  <si>
    <t>R4</t>
  </si>
  <si>
    <t>RES SMD 20K OHM 1% 1/10W 0603</t>
  </si>
  <si>
    <t>R5</t>
  </si>
  <si>
    <t>RC0603FR-0720KL</t>
  </si>
  <si>
    <t>20K</t>
  </si>
  <si>
    <t>IC RF TXRX+MCU BLUETOOTH WIFI</t>
  </si>
  <si>
    <t>U7</t>
  </si>
  <si>
    <t>ESP32-D0WD-V3</t>
  </si>
  <si>
    <t>IC FLASH 8MBIT SPI 86MHZ 8SOP</t>
  </si>
  <si>
    <t>U8</t>
  </si>
  <si>
    <t>SOP-8</t>
  </si>
  <si>
    <t>MX25L8006EM2I-12G</t>
  </si>
  <si>
    <t>15V 19A 3.3V 4V Bidirectional SOD-323 ESD Protection Devices ROHS</t>
  </si>
  <si>
    <t>D1</t>
  </si>
  <si>
    <t>UDD32C03L01</t>
  </si>
  <si>
    <t>Diode</t>
  </si>
  <si>
    <t>2nH ±0.3nH 0603 Inductors</t>
  </si>
  <si>
    <t>L1</t>
  </si>
  <si>
    <t>IND 0603</t>
  </si>
  <si>
    <t>SDCL1608C2N0STDF</t>
  </si>
  <si>
    <t xml:space="preserve">Inductor </t>
  </si>
  <si>
    <t>C696857</t>
  </si>
  <si>
    <t>22pF</t>
  </si>
  <si>
    <t>C519410</t>
  </si>
  <si>
    <t>100pF</t>
  </si>
  <si>
    <t>C696855</t>
  </si>
  <si>
    <t>3.3nF</t>
  </si>
  <si>
    <t xml:space="preserve">SOD-323
</t>
  </si>
  <si>
    <t>C78439</t>
  </si>
  <si>
    <t>TCC0402COG220J500AT</t>
  </si>
  <si>
    <t>TCC0402X7R332K500AT</t>
  </si>
  <si>
    <t>C370234</t>
  </si>
  <si>
    <t>C9010</t>
  </si>
  <si>
    <t>----</t>
  </si>
  <si>
    <t>C105575</t>
  </si>
  <si>
    <t xml:space="preserve">QFN-48
</t>
  </si>
  <si>
    <t>C967021</t>
  </si>
  <si>
    <t>C71947</t>
  </si>
  <si>
    <t>C21, C22, C23, C24, C25, C26, C28, C30, C31, C32, C33, C34, C35, C37, C38, C39, C40, C41, C42, C54, C58, C59, C71, C77, C79, C81, C82, C84, C87</t>
  </si>
  <si>
    <t>CAP SMD 4700pF ±10% 25V X7R 0603</t>
  </si>
  <si>
    <t>C86</t>
  </si>
  <si>
    <t>CC0603KRX7R8BB472</t>
  </si>
  <si>
    <t>CAP CER 33000pF ±10% 25V X7R 0603</t>
  </si>
  <si>
    <t>C88, C89</t>
  </si>
  <si>
    <t>CC0603KRX7R8BB333</t>
  </si>
  <si>
    <t>DIODE TVS SMD 5.5V 5A 90W</t>
  </si>
  <si>
    <t>D2, D3</t>
  </si>
  <si>
    <t>TPD1E10B06DPYR</t>
  </si>
  <si>
    <t>C505480</t>
  </si>
  <si>
    <t>4.7nF</t>
  </si>
  <si>
    <t>C113810</t>
  </si>
  <si>
    <t>33nF</t>
  </si>
  <si>
    <t>C48260</t>
  </si>
  <si>
    <t>FIXED IND 3.3NH 1A 120 MOHM SMD</t>
  </si>
  <si>
    <t>L2, L3</t>
  </si>
  <si>
    <t>LQG18HN3N3S00D</t>
  </si>
  <si>
    <t>FIXED IND 1.2NH 1A 90 MOHM SMD</t>
  </si>
  <si>
    <t>L4, L5</t>
  </si>
  <si>
    <t>IND 0402</t>
  </si>
  <si>
    <t>LQG15HS1N2S02D</t>
  </si>
  <si>
    <t>C162552</t>
  </si>
  <si>
    <t>C77105</t>
  </si>
  <si>
    <t>RES SMD 0R, 1%, 0.1W, 0603</t>
  </si>
  <si>
    <t>R6, R7, R8, R9</t>
  </si>
  <si>
    <t>RC0603FR-070RL</t>
  </si>
  <si>
    <t>C100044</t>
  </si>
  <si>
    <t>0R</t>
  </si>
  <si>
    <t>SB1, SB2, SB3, SB4, SB5, SB6, SB7, SB8, SB9, SB10, SB11, SB12, SB13, SB14, SB15, SB16, SB17, SB18, SB19, SB20, SB21, SB22, SB23, SB24, SB25, SB26, SB27, SB28, SB29, SB30, SB31, SB32, SB33, SB34, SB35, SB36, SB37, SB38, SB39, SB40, SB41, SB42, SB43, SB44, SB45, SB46, SB47, SB48, SB49, SB50, SB70, SB71, SB72</t>
  </si>
  <si>
    <t>LCSC/MOQ (20)</t>
  </si>
  <si>
    <t xml:space="preserve">Cell Holder </t>
  </si>
  <si>
    <t>Series 3.7V Flat Tip Battery Holder Case for 3 x 18650 Batteries</t>
  </si>
  <si>
    <t>CAP SMD  2.7pF ±0.25pF 50V NPO 0603</t>
  </si>
  <si>
    <t>C90</t>
  </si>
  <si>
    <t>CC0603CRNPO9BN2R7</t>
  </si>
  <si>
    <t>CAP SMD 4.7pF ±0.1pF 50V NPO 0603</t>
  </si>
  <si>
    <t>C91</t>
  </si>
  <si>
    <t>CC0603BRNPO9BN4R7</t>
  </si>
  <si>
    <t>C282247</t>
  </si>
  <si>
    <t>2.7pF</t>
  </si>
  <si>
    <t>C327022</t>
  </si>
  <si>
    <t>4.7pF</t>
  </si>
  <si>
    <t>IND 700mA 1.6nH ±10% 40mΩ 0603</t>
  </si>
  <si>
    <t>L6</t>
  </si>
  <si>
    <t>FHW0603UC1N6KST</t>
  </si>
  <si>
    <t>C317978</t>
  </si>
  <si>
    <t>499R</t>
  </si>
  <si>
    <t>RES SMD 499Ω ± 1.00% 0.1W ± 100ppm/℃ 0603</t>
  </si>
  <si>
    <t>RC0603FR-07499RL</t>
  </si>
  <si>
    <t>C137714</t>
  </si>
  <si>
    <t>RF ANT 2.4GHZ STAMPED MET SLD</t>
  </si>
  <si>
    <t>U9</t>
  </si>
  <si>
    <t>PRO-OB-440</t>
  </si>
  <si>
    <t>CONN U.FL RCPT STR 50 OHM SMD</t>
  </si>
  <si>
    <t>J4</t>
  </si>
  <si>
    <t>U.FL-R-SMT-1(80)</t>
  </si>
  <si>
    <t>C88374</t>
  </si>
  <si>
    <t>R10,'R17</t>
  </si>
  <si>
    <t>U10</t>
  </si>
  <si>
    <t>P1</t>
  </si>
  <si>
    <t>IC PSRAM 64MBIT SPI 133MHZ 8SOIC</t>
  </si>
  <si>
    <t>SOIC-8</t>
  </si>
  <si>
    <t>ESP-PSRAM64H</t>
  </si>
  <si>
    <t>CONN HEADER VERT 6POS 2.54MM</t>
  </si>
  <si>
    <t>C37208</t>
  </si>
  <si>
    <t>USB 3.1 1 Surface Mount 6 Female -25℃~+85℃ Type-C SMD USB Connectors ROHS</t>
  </si>
  <si>
    <t>U262-061N-4BVC11</t>
  </si>
  <si>
    <t>C2764612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</si>
</sst>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00"/>
  </numFmts>
  <fonts count="16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trike/>
      <u/>
      <sz val="10"/>
      <color rgb="FFFF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0" fillId="0" borderId="0" xfId="0" applyFont="1" applyFill="1" applyAlignment="1"/>
    <xf numFmtId="0" fontId="2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11" fillId="0" borderId="7" xfId="0" quotePrefix="1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2" fillId="0" borderId="7" xfId="0" quotePrefix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9" xfId="0" quotePrefix="1" applyFont="1" applyFill="1" applyBorder="1" applyAlignment="1">
      <alignment horizontal="center" vertical="center"/>
    </xf>
    <xf numFmtId="0" fontId="12" fillId="0" borderId="9" xfId="0" quotePrefix="1" applyFont="1" applyFill="1" applyBorder="1" applyAlignment="1">
      <alignment horizontal="center" vertical="center"/>
    </xf>
    <xf numFmtId="0" fontId="11" fillId="0" borderId="9" xfId="0" quotePrefix="1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1" fillId="0" borderId="14" xfId="0" quotePrefix="1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 wrapText="1"/>
    </xf>
    <xf numFmtId="0" fontId="12" fillId="0" borderId="7" xfId="0" quotePrefix="1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1" fillId="0" borderId="11" xfId="0" quotePrefix="1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2" fillId="0" borderId="11" xfId="0" quotePrefix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0" borderId="6" xfId="0" quotePrefix="1" applyFont="1" applyBorder="1" applyAlignment="1">
      <alignment horizontal="left" vertical="center"/>
    </xf>
    <xf numFmtId="0" fontId="12" fillId="0" borderId="7" xfId="0" quotePrefix="1" applyFont="1" applyBorder="1" applyAlignment="1">
      <alignment horizontal="center" vertical="center"/>
    </xf>
    <xf numFmtId="0" fontId="12" fillId="0" borderId="7" xfId="0" quotePrefix="1" applyFont="1" applyBorder="1" applyAlignment="1">
      <alignment horizontal="center"/>
    </xf>
    <xf numFmtId="0" fontId="12" fillId="0" borderId="7" xfId="0" applyFont="1" applyBorder="1" applyAlignment="1">
      <alignment horizontal="center" vertical="center"/>
    </xf>
    <xf numFmtId="0" fontId="12" fillId="0" borderId="8" xfId="0" quotePrefix="1" applyFont="1" applyBorder="1" applyAlignment="1">
      <alignment horizontal="left" vertical="center"/>
    </xf>
    <xf numFmtId="0" fontId="12" fillId="0" borderId="9" xfId="0" quotePrefix="1" applyFont="1" applyBorder="1" applyAlignment="1">
      <alignment horizontal="center" vertical="center"/>
    </xf>
    <xf numFmtId="0" fontId="12" fillId="0" borderId="9" xfId="0" quotePrefix="1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14" xfId="0" quotePrefix="1" applyFont="1" applyBorder="1" applyAlignment="1">
      <alignment horizontal="center" vertical="center"/>
    </xf>
    <xf numFmtId="0" fontId="12" fillId="0" borderId="6" xfId="0" quotePrefix="1" applyFont="1" applyBorder="1" applyAlignment="1">
      <alignment vertical="center" wrapText="1"/>
    </xf>
    <xf numFmtId="0" fontId="12" fillId="0" borderId="7" xfId="0" quotePrefix="1" applyFont="1" applyBorder="1" applyAlignment="1">
      <alignment horizontal="center" vertical="center" wrapText="1"/>
    </xf>
    <xf numFmtId="0" fontId="12" fillId="0" borderId="10" xfId="0" quotePrefix="1" applyFont="1" applyBorder="1" applyAlignment="1">
      <alignment vertical="center" wrapText="1"/>
    </xf>
    <xf numFmtId="0" fontId="12" fillId="0" borderId="11" xfId="0" quotePrefix="1" applyFont="1" applyBorder="1" applyAlignment="1">
      <alignment horizontal="center" vertical="center"/>
    </xf>
    <xf numFmtId="0" fontId="12" fillId="0" borderId="8" xfId="0" quotePrefix="1" applyFont="1" applyBorder="1" applyAlignment="1">
      <alignment vertical="center" wrapText="1"/>
    </xf>
    <xf numFmtId="0" fontId="12" fillId="0" borderId="11" xfId="0" applyFont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2" fillId="4" borderId="9" xfId="0" quotePrefix="1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6" xfId="0" quotePrefix="1" applyFont="1" applyBorder="1" applyAlignment="1">
      <alignment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10" xfId="0" quotePrefix="1" applyFont="1" applyBorder="1" applyAlignment="1">
      <alignment horizontal="left" vertical="center"/>
    </xf>
    <xf numFmtId="0" fontId="12" fillId="0" borderId="14" xfId="0" applyFont="1" applyFill="1" applyBorder="1" applyAlignment="1">
      <alignment horizontal="center" vertical="center"/>
    </xf>
    <xf numFmtId="0" fontId="14" fillId="6" borderId="10" xfId="0" quotePrefix="1" applyFont="1" applyFill="1" applyBorder="1" applyAlignment="1">
      <alignment vertical="center" wrapText="1"/>
    </xf>
    <xf numFmtId="0" fontId="14" fillId="6" borderId="11" xfId="0" quotePrefix="1" applyFont="1" applyFill="1" applyBorder="1" applyAlignment="1">
      <alignment horizontal="center" vertical="center" wrapText="1"/>
    </xf>
    <xf numFmtId="0" fontId="14" fillId="6" borderId="11" xfId="0" quotePrefix="1" applyFont="1" applyFill="1" applyBorder="1" applyAlignment="1">
      <alignment horizontal="center" vertical="center"/>
    </xf>
    <xf numFmtId="0" fontId="13" fillId="6" borderId="11" xfId="1" quotePrefix="1" applyFont="1" applyFill="1" applyBorder="1" applyAlignment="1">
      <alignment horizontal="center" vertical="center"/>
    </xf>
    <xf numFmtId="164" fontId="14" fillId="6" borderId="11" xfId="0" quotePrefix="1" applyNumberFormat="1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0" fontId="12" fillId="0" borderId="9" xfId="0" quotePrefix="1" applyFont="1" applyBorder="1" applyAlignment="1">
      <alignment horizontal="center" vertical="center" wrapText="1"/>
    </xf>
    <xf numFmtId="0" fontId="12" fillId="0" borderId="11" xfId="0" quotePrefix="1" applyFont="1" applyBorder="1" applyAlignment="1">
      <alignment horizontal="center" vertical="center" wrapText="1"/>
    </xf>
    <xf numFmtId="0" fontId="12" fillId="0" borderId="11" xfId="0" quotePrefix="1" applyFont="1" applyBorder="1" applyAlignment="1">
      <alignment horizontal="center"/>
    </xf>
    <xf numFmtId="0" fontId="12" fillId="4" borderId="9" xfId="0" quotePrefix="1" applyFont="1" applyFill="1" applyBorder="1" applyAlignment="1">
      <alignment horizontal="center" vertical="center" wrapText="1"/>
    </xf>
    <xf numFmtId="0" fontId="12" fillId="4" borderId="7" xfId="0" quotePrefix="1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12" fillId="4" borderId="11" xfId="0" quotePrefix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2" fillId="0" borderId="14" xfId="0" quotePrefix="1" applyFont="1" applyFill="1" applyBorder="1" applyAlignment="1">
      <alignment horizontal="center" vertical="center"/>
    </xf>
    <xf numFmtId="0" fontId="12" fillId="0" borderId="14" xfId="0" quotePrefix="1" applyFont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/>
    </xf>
    <xf numFmtId="0" fontId="12" fillId="0" borderId="6" xfId="0" quotePrefix="1" applyFont="1" applyBorder="1" applyAlignment="1">
      <alignment horizontal="left" vertical="center" wrapText="1"/>
    </xf>
    <xf numFmtId="0" fontId="12" fillId="0" borderId="10" xfId="0" quotePrefix="1" applyFont="1" applyBorder="1" applyAlignment="1">
      <alignment horizontal="left" vertical="center" wrapText="1"/>
    </xf>
    <xf numFmtId="0" fontId="12" fillId="4" borderId="7" xfId="0" quotePrefix="1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4" borderId="11" xfId="0" quotePrefix="1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4" xfId="0" quotePrefix="1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/>
    </xf>
    <xf numFmtId="0" fontId="12" fillId="0" borderId="9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5" fillId="0" borderId="7" xfId="0" quotePrefix="1" applyFont="1" applyBorder="1" applyAlignment="1">
      <alignment horizontal="center" vertical="center"/>
    </xf>
    <xf numFmtId="0" fontId="12" fillId="0" borderId="17" xfId="0" quotePrefix="1" applyFont="1" applyFill="1" applyBorder="1" applyAlignment="1">
      <alignment vertical="center"/>
    </xf>
    <xf numFmtId="0" fontId="12" fillId="0" borderId="12" xfId="0" quotePrefix="1" applyFont="1" applyFill="1" applyBorder="1" applyAlignment="1">
      <alignment horizontal="center" vertical="center" wrapText="1"/>
    </xf>
    <xf numFmtId="0" fontId="12" fillId="0" borderId="12" xfId="0" quotePrefix="1" applyFont="1" applyFill="1" applyBorder="1" applyAlignment="1">
      <alignment horizontal="center" vertical="center"/>
    </xf>
    <xf numFmtId="0" fontId="11" fillId="0" borderId="12" xfId="0" quotePrefix="1" applyFont="1" applyFill="1" applyBorder="1" applyAlignment="1">
      <alignment horizontal="center" vertical="center"/>
    </xf>
    <xf numFmtId="0" fontId="12" fillId="0" borderId="8" xfId="0" quotePrefix="1" applyFont="1" applyFill="1" applyBorder="1" applyAlignment="1">
      <alignment vertical="center" wrapText="1"/>
    </xf>
    <xf numFmtId="0" fontId="14" fillId="0" borderId="17" xfId="0" quotePrefix="1" applyFont="1" applyBorder="1" applyAlignment="1">
      <alignment vertical="center" wrapText="1"/>
    </xf>
    <xf numFmtId="0" fontId="14" fillId="4" borderId="12" xfId="0" quotePrefix="1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/>
    </xf>
    <xf numFmtId="0" fontId="14" fillId="4" borderId="10" xfId="0" quotePrefix="1" applyFont="1" applyFill="1" applyBorder="1" applyAlignment="1">
      <alignment vertical="center" wrapText="1"/>
    </xf>
    <xf numFmtId="0" fontId="14" fillId="4" borderId="11" xfId="0" quotePrefix="1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tabSelected="1" zoomScale="70" zoomScaleNormal="70" workbookViewId="0">
      <selection activeCell="E54" sqref="E54"/>
    </sheetView>
  </sheetViews>
  <sheetFormatPr defaultColWidth="9" defaultRowHeight="15"/>
  <cols>
    <col min="1" max="1" width="6.140625" style="2" customWidth="1"/>
    <col min="2" max="2" width="14.42578125" style="1" customWidth="1"/>
    <col min="3" max="3" width="47.5703125" style="11" customWidth="1"/>
    <col min="4" max="4" width="32.28515625" style="12" bestFit="1" customWidth="1"/>
    <col min="5" max="5" width="20.5703125" style="2" bestFit="1" customWidth="1"/>
    <col min="6" max="6" width="28.42578125" style="2" bestFit="1" customWidth="1"/>
    <col min="7" max="7" width="14.28515625" style="2" bestFit="1" customWidth="1"/>
    <col min="8" max="8" width="6.42578125" style="2" bestFit="1" customWidth="1"/>
    <col min="9" max="9" width="16" style="1" bestFit="1" customWidth="1"/>
    <col min="10" max="10" width="21.85546875" style="1" customWidth="1"/>
    <col min="11" max="16384" width="9" style="1"/>
  </cols>
  <sheetData>
    <row r="1" spans="1:11" ht="16.5" thickBot="1">
      <c r="A1" s="86" t="s">
        <v>118</v>
      </c>
      <c r="B1" s="87"/>
      <c r="C1" s="87"/>
      <c r="D1" s="87"/>
      <c r="E1" s="87"/>
      <c r="F1" s="87"/>
      <c r="G1" s="87"/>
      <c r="H1" s="87"/>
      <c r="I1" s="87"/>
      <c r="J1" s="87"/>
    </row>
    <row r="2" spans="1:11" ht="16.5" thickBot="1">
      <c r="A2" s="3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71" t="s">
        <v>203</v>
      </c>
      <c r="J2" s="5" t="s">
        <v>8</v>
      </c>
    </row>
    <row r="3" spans="1:11" ht="15.75" thickBot="1">
      <c r="A3" s="6">
        <v>1</v>
      </c>
      <c r="B3" s="88" t="s">
        <v>9</v>
      </c>
      <c r="C3" s="35" t="s">
        <v>34</v>
      </c>
      <c r="D3" s="67" t="s">
        <v>125</v>
      </c>
      <c r="E3" s="37" t="s">
        <v>35</v>
      </c>
      <c r="F3" s="37" t="s">
        <v>36</v>
      </c>
      <c r="G3" s="15" t="s">
        <v>95</v>
      </c>
      <c r="H3" s="36" t="s">
        <v>14</v>
      </c>
      <c r="I3" s="16">
        <v>100</v>
      </c>
      <c r="J3" s="38">
        <v>4</v>
      </c>
    </row>
    <row r="4" spans="1:11" ht="15.75" thickBot="1">
      <c r="A4" s="6">
        <v>2</v>
      </c>
      <c r="B4" s="89"/>
      <c r="C4" s="39" t="s">
        <v>15</v>
      </c>
      <c r="D4" s="51" t="s">
        <v>37</v>
      </c>
      <c r="E4" s="41" t="s">
        <v>35</v>
      </c>
      <c r="F4" s="41" t="s">
        <v>38</v>
      </c>
      <c r="G4" s="18" t="s">
        <v>96</v>
      </c>
      <c r="H4" s="40" t="s">
        <v>54</v>
      </c>
      <c r="I4" s="20">
        <v>40</v>
      </c>
      <c r="J4" s="42">
        <v>1</v>
      </c>
    </row>
    <row r="5" spans="1:11" ht="39" thickBot="1">
      <c r="A5" s="6">
        <v>3</v>
      </c>
      <c r="B5" s="89"/>
      <c r="C5" s="39" t="s">
        <v>39</v>
      </c>
      <c r="D5" s="66" t="s">
        <v>121</v>
      </c>
      <c r="E5" s="40" t="s">
        <v>35</v>
      </c>
      <c r="F5" s="40" t="s">
        <v>40</v>
      </c>
      <c r="G5" s="18" t="s">
        <v>97</v>
      </c>
      <c r="H5" s="40" t="s">
        <v>10</v>
      </c>
      <c r="I5" s="20">
        <v>400</v>
      </c>
      <c r="J5" s="42">
        <v>19</v>
      </c>
      <c r="K5" s="9"/>
    </row>
    <row r="6" spans="1:11" ht="15.75" thickBot="1">
      <c r="A6" s="6">
        <v>4</v>
      </c>
      <c r="B6" s="89"/>
      <c r="C6" s="39" t="s">
        <v>41</v>
      </c>
      <c r="D6" s="51" t="s">
        <v>42</v>
      </c>
      <c r="E6" s="41" t="s">
        <v>43</v>
      </c>
      <c r="F6" s="41" t="s">
        <v>44</v>
      </c>
      <c r="G6" s="18" t="s">
        <v>98</v>
      </c>
      <c r="H6" s="40" t="s">
        <v>55</v>
      </c>
      <c r="I6" s="20">
        <v>200</v>
      </c>
      <c r="J6" s="42">
        <v>8</v>
      </c>
      <c r="K6" s="9"/>
    </row>
    <row r="7" spans="1:11" ht="15.75" thickBot="1">
      <c r="A7" s="6">
        <v>5</v>
      </c>
      <c r="B7" s="89"/>
      <c r="C7" s="39" t="s">
        <v>122</v>
      </c>
      <c r="D7" s="51" t="s">
        <v>123</v>
      </c>
      <c r="E7" s="41" t="s">
        <v>124</v>
      </c>
      <c r="F7" s="19" t="s">
        <v>164</v>
      </c>
      <c r="G7" s="18" t="s">
        <v>156</v>
      </c>
      <c r="H7" s="40" t="s">
        <v>157</v>
      </c>
      <c r="I7" s="20">
        <v>100</v>
      </c>
      <c r="J7" s="42">
        <v>1</v>
      </c>
      <c r="K7" s="9"/>
    </row>
    <row r="8" spans="1:11" ht="51.75" thickBot="1">
      <c r="A8" s="6">
        <v>6</v>
      </c>
      <c r="B8" s="89"/>
      <c r="C8" s="39" t="s">
        <v>11</v>
      </c>
      <c r="D8" s="66" t="s">
        <v>173</v>
      </c>
      <c r="E8" s="40" t="s">
        <v>35</v>
      </c>
      <c r="F8" s="40" t="s">
        <v>12</v>
      </c>
      <c r="G8" s="18" t="s">
        <v>99</v>
      </c>
      <c r="H8" s="40" t="s">
        <v>13</v>
      </c>
      <c r="I8" s="20">
        <v>600</v>
      </c>
      <c r="J8" s="42">
        <v>29</v>
      </c>
      <c r="K8" s="9"/>
    </row>
    <row r="9" spans="1:11" ht="15.75" thickBot="1">
      <c r="A9" s="6">
        <v>7</v>
      </c>
      <c r="B9" s="89"/>
      <c r="C9" s="39" t="s">
        <v>45</v>
      </c>
      <c r="D9" s="51" t="s">
        <v>46</v>
      </c>
      <c r="E9" s="41" t="s">
        <v>35</v>
      </c>
      <c r="F9" s="41" t="s">
        <v>47</v>
      </c>
      <c r="G9" s="22" t="s">
        <v>100</v>
      </c>
      <c r="H9" s="40" t="s">
        <v>56</v>
      </c>
      <c r="I9" s="21">
        <v>30</v>
      </c>
      <c r="J9" s="42">
        <v>1</v>
      </c>
      <c r="K9" s="9"/>
    </row>
    <row r="10" spans="1:11" ht="15.75" thickBot="1">
      <c r="A10" s="6">
        <v>8</v>
      </c>
      <c r="B10" s="89"/>
      <c r="C10" s="39" t="s">
        <v>48</v>
      </c>
      <c r="D10" s="51" t="s">
        <v>49</v>
      </c>
      <c r="E10" s="41" t="s">
        <v>35</v>
      </c>
      <c r="F10" s="41" t="s">
        <v>50</v>
      </c>
      <c r="G10" s="18" t="s">
        <v>101</v>
      </c>
      <c r="H10" s="40" t="s">
        <v>57</v>
      </c>
      <c r="I10" s="21">
        <v>200</v>
      </c>
      <c r="J10" s="42">
        <v>6</v>
      </c>
      <c r="K10" s="9"/>
    </row>
    <row r="11" spans="1:11" ht="39" thickBot="1">
      <c r="A11" s="6">
        <v>9</v>
      </c>
      <c r="B11" s="89"/>
      <c r="C11" s="39" t="s">
        <v>51</v>
      </c>
      <c r="D11" s="66" t="s">
        <v>52</v>
      </c>
      <c r="E11" s="40" t="s">
        <v>35</v>
      </c>
      <c r="F11" s="40" t="s">
        <v>53</v>
      </c>
      <c r="G11" s="18" t="s">
        <v>102</v>
      </c>
      <c r="H11" s="40" t="s">
        <v>58</v>
      </c>
      <c r="I11" s="21">
        <v>350</v>
      </c>
      <c r="J11" s="42">
        <v>16</v>
      </c>
      <c r="K11" s="9"/>
    </row>
    <row r="12" spans="1:11" ht="15.75" thickBot="1">
      <c r="A12" s="6">
        <v>10</v>
      </c>
      <c r="B12" s="89"/>
      <c r="C12" s="39" t="s">
        <v>126</v>
      </c>
      <c r="D12" s="51" t="s">
        <v>127</v>
      </c>
      <c r="E12" s="41" t="s">
        <v>35</v>
      </c>
      <c r="F12" s="41" t="s">
        <v>128</v>
      </c>
      <c r="G12" s="18" t="s">
        <v>158</v>
      </c>
      <c r="H12" s="40" t="s">
        <v>159</v>
      </c>
      <c r="I12" s="21">
        <v>50</v>
      </c>
      <c r="J12" s="42">
        <v>1</v>
      </c>
      <c r="K12" s="9"/>
    </row>
    <row r="13" spans="1:11" ht="15.75" thickBot="1">
      <c r="A13" s="6">
        <v>11</v>
      </c>
      <c r="B13" s="89"/>
      <c r="C13" s="39" t="s">
        <v>129</v>
      </c>
      <c r="D13" s="66" t="s">
        <v>130</v>
      </c>
      <c r="E13" s="40" t="s">
        <v>124</v>
      </c>
      <c r="F13" s="19" t="s">
        <v>165</v>
      </c>
      <c r="G13" s="18" t="s">
        <v>160</v>
      </c>
      <c r="H13" s="40" t="s">
        <v>161</v>
      </c>
      <c r="I13" s="21">
        <v>100</v>
      </c>
      <c r="J13" s="42">
        <v>1</v>
      </c>
      <c r="K13" s="9"/>
    </row>
    <row r="14" spans="1:11" ht="15.75" thickBot="1">
      <c r="A14" s="6">
        <v>12</v>
      </c>
      <c r="B14" s="89"/>
      <c r="C14" s="39" t="s">
        <v>174</v>
      </c>
      <c r="D14" s="51" t="s">
        <v>175</v>
      </c>
      <c r="E14" s="41" t="s">
        <v>18</v>
      </c>
      <c r="F14" s="41" t="s">
        <v>176</v>
      </c>
      <c r="G14" s="18" t="s">
        <v>183</v>
      </c>
      <c r="H14" s="40" t="s">
        <v>184</v>
      </c>
      <c r="I14" s="21">
        <v>100</v>
      </c>
      <c r="J14" s="42">
        <v>1</v>
      </c>
      <c r="K14" s="9"/>
    </row>
    <row r="15" spans="1:11" ht="15.75" thickBot="1">
      <c r="A15" s="6">
        <v>13</v>
      </c>
      <c r="B15" s="89"/>
      <c r="C15" s="39" t="s">
        <v>177</v>
      </c>
      <c r="D15" s="51" t="s">
        <v>178</v>
      </c>
      <c r="E15" s="41" t="s">
        <v>18</v>
      </c>
      <c r="F15" s="41" t="s">
        <v>179</v>
      </c>
      <c r="G15" s="18" t="s">
        <v>185</v>
      </c>
      <c r="H15" s="40" t="s">
        <v>186</v>
      </c>
      <c r="I15" s="21">
        <v>50</v>
      </c>
      <c r="J15" s="42">
        <v>2</v>
      </c>
      <c r="K15" s="9"/>
    </row>
    <row r="16" spans="1:11" ht="15.75" thickBot="1">
      <c r="A16" s="6">
        <v>14</v>
      </c>
      <c r="B16" s="89"/>
      <c r="C16" s="39" t="s">
        <v>206</v>
      </c>
      <c r="D16" s="20" t="s">
        <v>207</v>
      </c>
      <c r="E16" s="41" t="s">
        <v>35</v>
      </c>
      <c r="F16" s="41" t="s">
        <v>208</v>
      </c>
      <c r="G16" s="18" t="s">
        <v>212</v>
      </c>
      <c r="H16" s="40" t="s">
        <v>213</v>
      </c>
      <c r="I16" s="21">
        <v>50</v>
      </c>
      <c r="J16" s="42">
        <v>1</v>
      </c>
      <c r="K16" s="9"/>
    </row>
    <row r="17" spans="1:11" ht="15.75" thickBot="1">
      <c r="A17" s="6">
        <v>15</v>
      </c>
      <c r="B17" s="90"/>
      <c r="C17" s="55" t="s">
        <v>209</v>
      </c>
      <c r="D17" s="30" t="s">
        <v>210</v>
      </c>
      <c r="E17" s="65" t="s">
        <v>35</v>
      </c>
      <c r="F17" s="65" t="s">
        <v>211</v>
      </c>
      <c r="G17" s="29" t="s">
        <v>214</v>
      </c>
      <c r="H17" s="47" t="s">
        <v>215</v>
      </c>
      <c r="I17" s="28">
        <v>50</v>
      </c>
      <c r="J17" s="49">
        <v>1</v>
      </c>
      <c r="K17" s="9"/>
    </row>
    <row r="18" spans="1:11" ht="26.25" thickBot="1">
      <c r="A18" s="6">
        <v>16</v>
      </c>
      <c r="B18" s="91" t="s">
        <v>150</v>
      </c>
      <c r="C18" s="75" t="s">
        <v>147</v>
      </c>
      <c r="D18" s="67" t="s">
        <v>148</v>
      </c>
      <c r="E18" s="36" t="s">
        <v>162</v>
      </c>
      <c r="F18" s="36" t="s">
        <v>149</v>
      </c>
      <c r="G18" s="15" t="s">
        <v>163</v>
      </c>
      <c r="H18" s="36" t="s">
        <v>16</v>
      </c>
      <c r="I18" s="14">
        <v>30</v>
      </c>
      <c r="J18" s="38">
        <v>1</v>
      </c>
      <c r="K18" s="9"/>
    </row>
    <row r="19" spans="1:11" ht="15.75" thickBot="1">
      <c r="A19" s="6">
        <v>17</v>
      </c>
      <c r="B19" s="92"/>
      <c r="C19" s="76" t="s">
        <v>180</v>
      </c>
      <c r="D19" s="70" t="s">
        <v>181</v>
      </c>
      <c r="E19" s="47" t="s">
        <v>22</v>
      </c>
      <c r="F19" s="47" t="s">
        <v>182</v>
      </c>
      <c r="G19" s="29" t="s">
        <v>187</v>
      </c>
      <c r="H19" s="47" t="s">
        <v>16</v>
      </c>
      <c r="I19" s="28">
        <v>45</v>
      </c>
      <c r="J19" s="49">
        <v>2</v>
      </c>
      <c r="K19" s="9"/>
    </row>
    <row r="20" spans="1:11" ht="15.75" thickBot="1">
      <c r="A20" s="6">
        <v>18</v>
      </c>
      <c r="B20" s="95" t="s">
        <v>155</v>
      </c>
      <c r="C20" s="35" t="s">
        <v>151</v>
      </c>
      <c r="D20" s="67" t="s">
        <v>152</v>
      </c>
      <c r="E20" s="37" t="s">
        <v>153</v>
      </c>
      <c r="F20" s="37" t="s">
        <v>154</v>
      </c>
      <c r="G20" s="15" t="s">
        <v>166</v>
      </c>
      <c r="H20" s="36" t="s">
        <v>16</v>
      </c>
      <c r="I20" s="14">
        <v>50</v>
      </c>
      <c r="J20" s="38">
        <v>1</v>
      </c>
      <c r="K20" s="9"/>
    </row>
    <row r="21" spans="1:11" ht="15.75" thickBot="1">
      <c r="A21" s="6">
        <v>19</v>
      </c>
      <c r="B21" s="93"/>
      <c r="C21" s="39" t="s">
        <v>188</v>
      </c>
      <c r="D21" s="51" t="s">
        <v>189</v>
      </c>
      <c r="E21" s="41" t="s">
        <v>153</v>
      </c>
      <c r="F21" s="41" t="s">
        <v>190</v>
      </c>
      <c r="G21" s="18" t="s">
        <v>195</v>
      </c>
      <c r="H21" s="40" t="s">
        <v>168</v>
      </c>
      <c r="I21" s="21">
        <v>50</v>
      </c>
      <c r="J21" s="42">
        <v>2</v>
      </c>
      <c r="K21" s="9"/>
    </row>
    <row r="22" spans="1:11" ht="15.75" thickBot="1">
      <c r="A22" s="6">
        <v>20</v>
      </c>
      <c r="B22" s="93"/>
      <c r="C22" s="39" t="s">
        <v>191</v>
      </c>
      <c r="D22" s="51" t="s">
        <v>192</v>
      </c>
      <c r="E22" s="41" t="s">
        <v>193</v>
      </c>
      <c r="F22" s="41" t="s">
        <v>194</v>
      </c>
      <c r="G22" s="18" t="s">
        <v>196</v>
      </c>
      <c r="H22" s="40" t="s">
        <v>168</v>
      </c>
      <c r="I22" s="21">
        <v>50</v>
      </c>
      <c r="J22" s="42">
        <v>2</v>
      </c>
      <c r="K22" s="9"/>
    </row>
    <row r="23" spans="1:11" ht="15.75" thickBot="1">
      <c r="A23" s="6">
        <v>21</v>
      </c>
      <c r="B23" s="94"/>
      <c r="C23" s="55" t="s">
        <v>216</v>
      </c>
      <c r="D23" s="30" t="s">
        <v>217</v>
      </c>
      <c r="E23" s="65" t="s">
        <v>22</v>
      </c>
      <c r="F23" s="65" t="s">
        <v>218</v>
      </c>
      <c r="G23" s="29" t="s">
        <v>219</v>
      </c>
      <c r="H23" s="47" t="s">
        <v>168</v>
      </c>
      <c r="I23" s="28">
        <v>30</v>
      </c>
      <c r="J23" s="49">
        <v>1</v>
      </c>
      <c r="K23" s="9"/>
    </row>
    <row r="24" spans="1:11" ht="26.25" thickBot="1">
      <c r="A24" s="6">
        <v>22</v>
      </c>
      <c r="B24" s="68" t="s">
        <v>62</v>
      </c>
      <c r="C24" s="97" t="s">
        <v>59</v>
      </c>
      <c r="D24" s="98" t="s">
        <v>60</v>
      </c>
      <c r="E24" s="99" t="s">
        <v>22</v>
      </c>
      <c r="F24" s="99" t="s">
        <v>61</v>
      </c>
      <c r="G24" s="100" t="s">
        <v>116</v>
      </c>
      <c r="H24" s="99" t="s">
        <v>16</v>
      </c>
      <c r="I24" s="99">
        <v>162</v>
      </c>
      <c r="J24" s="74">
        <v>8</v>
      </c>
      <c r="K24" s="9"/>
    </row>
    <row r="25" spans="1:11" ht="26.25" thickBot="1">
      <c r="A25" s="6">
        <v>23</v>
      </c>
      <c r="B25" s="69" t="s">
        <v>20</v>
      </c>
      <c r="C25" s="53" t="s">
        <v>63</v>
      </c>
      <c r="D25" s="73" t="s">
        <v>21</v>
      </c>
      <c r="E25" s="43" t="s">
        <v>22</v>
      </c>
      <c r="F25" s="43" t="s">
        <v>64</v>
      </c>
      <c r="G25" s="24" t="s">
        <v>103</v>
      </c>
      <c r="H25" s="72" t="s">
        <v>16</v>
      </c>
      <c r="I25" s="72">
        <v>30</v>
      </c>
      <c r="J25" s="56">
        <v>1</v>
      </c>
      <c r="K25" s="9"/>
    </row>
    <row r="26" spans="1:11" ht="26.25" thickBot="1">
      <c r="A26" s="6">
        <v>24</v>
      </c>
      <c r="B26" s="88" t="s">
        <v>25</v>
      </c>
      <c r="C26" s="44" t="s">
        <v>65</v>
      </c>
      <c r="D26" s="45" t="s">
        <v>26</v>
      </c>
      <c r="E26" s="45" t="s">
        <v>22</v>
      </c>
      <c r="F26" s="45" t="s">
        <v>66</v>
      </c>
      <c r="G26" s="25" t="s">
        <v>104</v>
      </c>
      <c r="H26" s="26" t="s">
        <v>16</v>
      </c>
      <c r="I26" s="26">
        <v>23</v>
      </c>
      <c r="J26" s="27">
        <v>1</v>
      </c>
      <c r="K26" s="9"/>
    </row>
    <row r="27" spans="1:11" ht="26.25" thickBot="1">
      <c r="A27" s="6">
        <v>25</v>
      </c>
      <c r="B27" s="89"/>
      <c r="C27" s="48" t="s">
        <v>67</v>
      </c>
      <c r="D27" s="63" t="s">
        <v>68</v>
      </c>
      <c r="E27" s="40" t="s">
        <v>22</v>
      </c>
      <c r="F27" s="40" t="s">
        <v>69</v>
      </c>
      <c r="G27" s="18" t="s">
        <v>105</v>
      </c>
      <c r="H27" s="20" t="s">
        <v>16</v>
      </c>
      <c r="I27" s="20">
        <v>45</v>
      </c>
      <c r="J27" s="54">
        <v>2</v>
      </c>
      <c r="K27" s="9"/>
    </row>
    <row r="28" spans="1:11" ht="26.25" thickBot="1">
      <c r="A28" s="6">
        <v>26</v>
      </c>
      <c r="B28" s="90"/>
      <c r="C28" s="46" t="s">
        <v>131</v>
      </c>
      <c r="D28" s="64" t="s">
        <v>132</v>
      </c>
      <c r="E28" s="47" t="s">
        <v>22</v>
      </c>
      <c r="F28" s="47" t="s">
        <v>133</v>
      </c>
      <c r="G28" s="29" t="s">
        <v>167</v>
      </c>
      <c r="H28" s="30" t="s">
        <v>168</v>
      </c>
      <c r="I28" s="30">
        <v>25</v>
      </c>
      <c r="J28" s="31">
        <v>1</v>
      </c>
      <c r="K28" s="9"/>
    </row>
    <row r="29" spans="1:11" ht="15.75" thickBot="1">
      <c r="A29" s="6">
        <v>27</v>
      </c>
      <c r="B29" s="88" t="s">
        <v>17</v>
      </c>
      <c r="C29" s="44" t="s">
        <v>70</v>
      </c>
      <c r="D29" s="77" t="s">
        <v>134</v>
      </c>
      <c r="E29" s="36" t="s">
        <v>18</v>
      </c>
      <c r="F29" s="67" t="s">
        <v>106</v>
      </c>
      <c r="G29" s="15" t="s">
        <v>107</v>
      </c>
      <c r="H29" s="36" t="s">
        <v>73</v>
      </c>
      <c r="I29" s="78">
        <v>100</v>
      </c>
      <c r="J29" s="78">
        <v>3</v>
      </c>
      <c r="K29" s="9"/>
    </row>
    <row r="30" spans="1:11" ht="15.75" thickBot="1">
      <c r="A30" s="6">
        <v>28</v>
      </c>
      <c r="B30" s="89"/>
      <c r="C30" s="48" t="s">
        <v>221</v>
      </c>
      <c r="D30" s="85" t="s">
        <v>135</v>
      </c>
      <c r="E30" s="40" t="s">
        <v>18</v>
      </c>
      <c r="F30" s="40" t="s">
        <v>222</v>
      </c>
      <c r="G30" s="18" t="s">
        <v>223</v>
      </c>
      <c r="H30" s="40" t="s">
        <v>220</v>
      </c>
      <c r="I30" s="52">
        <v>100</v>
      </c>
      <c r="J30" s="52">
        <v>1</v>
      </c>
      <c r="K30" s="9"/>
    </row>
    <row r="31" spans="1:11" ht="15.75" thickBot="1">
      <c r="A31" s="6">
        <v>29</v>
      </c>
      <c r="B31" s="89"/>
      <c r="C31" s="48" t="s">
        <v>136</v>
      </c>
      <c r="D31" s="66" t="s">
        <v>137</v>
      </c>
      <c r="E31" s="40" t="s">
        <v>18</v>
      </c>
      <c r="F31" s="40" t="s">
        <v>138</v>
      </c>
      <c r="G31" s="18" t="s">
        <v>169</v>
      </c>
      <c r="H31" s="40" t="s">
        <v>139</v>
      </c>
      <c r="I31" s="52">
        <v>100</v>
      </c>
      <c r="J31" s="52">
        <v>1</v>
      </c>
      <c r="K31" s="9"/>
    </row>
    <row r="32" spans="1:11" ht="15.75" thickBot="1">
      <c r="A32" s="6">
        <v>30</v>
      </c>
      <c r="B32" s="89"/>
      <c r="C32" s="48" t="s">
        <v>197</v>
      </c>
      <c r="D32" s="66" t="s">
        <v>198</v>
      </c>
      <c r="E32" s="40" t="s">
        <v>18</v>
      </c>
      <c r="F32" s="40" t="s">
        <v>199</v>
      </c>
      <c r="G32" s="18" t="s">
        <v>200</v>
      </c>
      <c r="H32" s="40" t="s">
        <v>201</v>
      </c>
      <c r="I32" s="52">
        <v>100</v>
      </c>
      <c r="J32" s="52">
        <v>4</v>
      </c>
      <c r="K32" s="9"/>
    </row>
    <row r="33" spans="1:11" ht="15.75" thickBot="1">
      <c r="A33" s="6">
        <v>31</v>
      </c>
      <c r="B33" s="90"/>
      <c r="C33" s="46" t="s">
        <v>71</v>
      </c>
      <c r="D33" s="79" t="s">
        <v>231</v>
      </c>
      <c r="E33" s="47" t="s">
        <v>18</v>
      </c>
      <c r="F33" s="47" t="s">
        <v>72</v>
      </c>
      <c r="G33" s="29" t="s">
        <v>108</v>
      </c>
      <c r="H33" s="47" t="s">
        <v>19</v>
      </c>
      <c r="I33" s="80">
        <v>100</v>
      </c>
      <c r="J33" s="80">
        <v>2</v>
      </c>
      <c r="K33" s="9"/>
    </row>
    <row r="34" spans="1:11" ht="15.75" thickBot="1">
      <c r="A34" s="6">
        <v>32</v>
      </c>
      <c r="B34" s="88" t="s">
        <v>90</v>
      </c>
      <c r="C34" s="44" t="s">
        <v>74</v>
      </c>
      <c r="D34" s="45" t="s">
        <v>75</v>
      </c>
      <c r="E34" s="36" t="s">
        <v>76</v>
      </c>
      <c r="F34" s="36" t="s">
        <v>77</v>
      </c>
      <c r="G34" s="15" t="s">
        <v>109</v>
      </c>
      <c r="H34" s="16" t="s">
        <v>16</v>
      </c>
      <c r="I34" s="16">
        <v>42</v>
      </c>
      <c r="J34" s="38">
        <v>2</v>
      </c>
      <c r="K34" s="9"/>
    </row>
    <row r="35" spans="1:11" ht="26.25" thickBot="1">
      <c r="A35" s="6">
        <v>33</v>
      </c>
      <c r="B35" s="89"/>
      <c r="C35" s="48" t="s">
        <v>78</v>
      </c>
      <c r="D35" s="63" t="s">
        <v>24</v>
      </c>
      <c r="E35" s="40" t="s">
        <v>79</v>
      </c>
      <c r="F35" s="40" t="s">
        <v>80</v>
      </c>
      <c r="G35" s="19" t="s">
        <v>110</v>
      </c>
      <c r="H35" s="20" t="s">
        <v>16</v>
      </c>
      <c r="I35" s="19">
        <v>21</v>
      </c>
      <c r="J35" s="42">
        <v>1</v>
      </c>
      <c r="K35" s="9"/>
    </row>
    <row r="36" spans="1:11" ht="15.75" thickBot="1">
      <c r="A36" s="6">
        <v>34</v>
      </c>
      <c r="B36" s="89"/>
      <c r="C36" s="48" t="s">
        <v>81</v>
      </c>
      <c r="D36" s="63" t="s">
        <v>23</v>
      </c>
      <c r="E36" s="40" t="s">
        <v>82</v>
      </c>
      <c r="F36" s="40" t="s">
        <v>83</v>
      </c>
      <c r="G36" s="21" t="s">
        <v>16</v>
      </c>
      <c r="H36" s="20" t="s">
        <v>16</v>
      </c>
      <c r="I36" s="21">
        <v>21</v>
      </c>
      <c r="J36" s="42">
        <v>1</v>
      </c>
      <c r="K36" s="9"/>
    </row>
    <row r="37" spans="1:11" ht="15.75" thickBot="1">
      <c r="A37" s="6">
        <v>35</v>
      </c>
      <c r="B37" s="89"/>
      <c r="C37" s="101" t="s">
        <v>84</v>
      </c>
      <c r="D37" s="85" t="s">
        <v>85</v>
      </c>
      <c r="E37" s="20" t="s">
        <v>111</v>
      </c>
      <c r="F37" s="20" t="s">
        <v>86</v>
      </c>
      <c r="G37" s="21" t="s">
        <v>16</v>
      </c>
      <c r="H37" s="20" t="s">
        <v>16</v>
      </c>
      <c r="I37" s="21">
        <v>41</v>
      </c>
      <c r="J37" s="50">
        <v>2</v>
      </c>
      <c r="K37" s="9"/>
    </row>
    <row r="38" spans="1:11" ht="15.75" thickBot="1">
      <c r="A38" s="6">
        <v>36</v>
      </c>
      <c r="B38" s="89"/>
      <c r="C38" s="48" t="s">
        <v>140</v>
      </c>
      <c r="D38" s="63" t="s">
        <v>141</v>
      </c>
      <c r="E38" s="40" t="s">
        <v>170</v>
      </c>
      <c r="F38" s="40" t="s">
        <v>142</v>
      </c>
      <c r="G38" s="21" t="s">
        <v>171</v>
      </c>
      <c r="H38" s="20" t="s">
        <v>16</v>
      </c>
      <c r="I38" s="21">
        <v>21</v>
      </c>
      <c r="J38" s="42">
        <v>1</v>
      </c>
      <c r="K38" s="9"/>
    </row>
    <row r="39" spans="1:11" ht="15.75" thickBot="1">
      <c r="A39" s="6">
        <v>37</v>
      </c>
      <c r="B39" s="89"/>
      <c r="C39" s="48" t="s">
        <v>143</v>
      </c>
      <c r="D39" s="63" t="s">
        <v>144</v>
      </c>
      <c r="E39" s="40" t="s">
        <v>145</v>
      </c>
      <c r="F39" s="40" t="s">
        <v>146</v>
      </c>
      <c r="G39" s="21" t="s">
        <v>172</v>
      </c>
      <c r="H39" s="20" t="s">
        <v>16</v>
      </c>
      <c r="I39" s="21">
        <v>21</v>
      </c>
      <c r="J39" s="42">
        <v>1</v>
      </c>
      <c r="K39" s="9"/>
    </row>
    <row r="40" spans="1:11" ht="15.75" thickBot="1">
      <c r="A40" s="6">
        <v>38</v>
      </c>
      <c r="B40" s="89"/>
      <c r="C40" s="48" t="s">
        <v>224</v>
      </c>
      <c r="D40" s="85" t="s">
        <v>225</v>
      </c>
      <c r="E40" s="40" t="s">
        <v>22</v>
      </c>
      <c r="F40" s="40" t="s">
        <v>226</v>
      </c>
      <c r="G40" s="21"/>
      <c r="H40" s="20" t="s">
        <v>16</v>
      </c>
      <c r="I40" s="21"/>
      <c r="J40" s="42">
        <v>1</v>
      </c>
      <c r="K40" s="9"/>
    </row>
    <row r="41" spans="1:11" ht="15.75" thickBot="1">
      <c r="A41" s="6"/>
      <c r="B41" s="89"/>
      <c r="C41" s="53" t="s">
        <v>234</v>
      </c>
      <c r="D41" s="82" t="s">
        <v>232</v>
      </c>
      <c r="E41" s="43" t="s">
        <v>235</v>
      </c>
      <c r="F41" s="2" t="s">
        <v>236</v>
      </c>
      <c r="G41" s="23" t="s">
        <v>30</v>
      </c>
      <c r="H41" s="20" t="s">
        <v>16</v>
      </c>
      <c r="I41" s="23">
        <v>30</v>
      </c>
      <c r="J41" s="81">
        <v>1</v>
      </c>
      <c r="K41" s="9"/>
    </row>
    <row r="42" spans="1:11" ht="26.25" thickBot="1">
      <c r="A42" s="6">
        <v>39</v>
      </c>
      <c r="B42" s="90"/>
      <c r="C42" s="46" t="s">
        <v>87</v>
      </c>
      <c r="D42" s="64" t="s">
        <v>88</v>
      </c>
      <c r="E42" s="47" t="s">
        <v>112</v>
      </c>
      <c r="F42" s="47" t="s">
        <v>89</v>
      </c>
      <c r="G42" s="30" t="s">
        <v>113</v>
      </c>
      <c r="H42" s="30" t="s">
        <v>16</v>
      </c>
      <c r="I42" s="28">
        <v>30</v>
      </c>
      <c r="J42" s="49">
        <v>1</v>
      </c>
      <c r="K42" s="9"/>
    </row>
    <row r="43" spans="1:11" ht="15.75" thickBot="1">
      <c r="A43" s="6">
        <v>40</v>
      </c>
      <c r="B43" s="88" t="s">
        <v>94</v>
      </c>
      <c r="C43" s="44" t="s">
        <v>91</v>
      </c>
      <c r="D43" s="45" t="s">
        <v>32</v>
      </c>
      <c r="E43" s="36" t="s">
        <v>22</v>
      </c>
      <c r="F43" s="96" t="s">
        <v>92</v>
      </c>
      <c r="G43" s="17" t="s">
        <v>114</v>
      </c>
      <c r="H43" s="16" t="s">
        <v>16</v>
      </c>
      <c r="I43" s="32">
        <v>50</v>
      </c>
      <c r="J43" s="33">
        <v>1</v>
      </c>
      <c r="K43" s="9"/>
    </row>
    <row r="44" spans="1:11" ht="26.25" thickBot="1">
      <c r="A44" s="6">
        <v>41</v>
      </c>
      <c r="B44" s="89"/>
      <c r="C44" s="48" t="s">
        <v>239</v>
      </c>
      <c r="D44" s="63" t="s">
        <v>33</v>
      </c>
      <c r="E44" s="36" t="s">
        <v>22</v>
      </c>
      <c r="F44" s="40" t="s">
        <v>240</v>
      </c>
      <c r="G44" s="20" t="s">
        <v>241</v>
      </c>
      <c r="H44" s="20" t="s">
        <v>16</v>
      </c>
      <c r="I44" s="20">
        <v>30</v>
      </c>
      <c r="J44" s="34">
        <v>1</v>
      </c>
      <c r="K44" s="9"/>
    </row>
    <row r="45" spans="1:11" ht="15.75" thickBot="1">
      <c r="A45" s="6">
        <v>42</v>
      </c>
      <c r="B45" s="89"/>
      <c r="C45" s="48" t="s">
        <v>93</v>
      </c>
      <c r="D45" s="63" t="s">
        <v>27</v>
      </c>
      <c r="E45" s="40" t="s">
        <v>22</v>
      </c>
      <c r="F45" s="20" t="s">
        <v>117</v>
      </c>
      <c r="G45" s="20" t="s">
        <v>115</v>
      </c>
      <c r="H45" s="20" t="s">
        <v>16</v>
      </c>
      <c r="I45" s="20">
        <v>50</v>
      </c>
      <c r="J45" s="34">
        <v>1</v>
      </c>
      <c r="K45" s="9"/>
    </row>
    <row r="46" spans="1:11" ht="15.75" thickBot="1">
      <c r="A46" s="6">
        <v>43</v>
      </c>
      <c r="B46" s="89"/>
      <c r="C46" s="48" t="s">
        <v>227</v>
      </c>
      <c r="D46" s="85" t="s">
        <v>228</v>
      </c>
      <c r="E46" s="40" t="s">
        <v>22</v>
      </c>
      <c r="F46" s="40" t="s">
        <v>229</v>
      </c>
      <c r="G46" s="20" t="s">
        <v>230</v>
      </c>
      <c r="H46" s="20" t="s">
        <v>16</v>
      </c>
      <c r="I46" s="20">
        <v>25</v>
      </c>
      <c r="J46" s="34">
        <v>1</v>
      </c>
      <c r="K46" s="9"/>
    </row>
    <row r="47" spans="1:11" ht="15.75" thickBot="1">
      <c r="A47" s="6"/>
      <c r="B47" s="89"/>
      <c r="C47" s="53" t="s">
        <v>237</v>
      </c>
      <c r="D47" s="43" t="s">
        <v>233</v>
      </c>
      <c r="E47" s="40" t="s">
        <v>22</v>
      </c>
      <c r="F47" s="84">
        <v>61300611121</v>
      </c>
      <c r="G47" s="72" t="s">
        <v>238</v>
      </c>
      <c r="H47" s="20" t="s">
        <v>16</v>
      </c>
      <c r="I47" s="72">
        <v>40</v>
      </c>
      <c r="J47" s="83">
        <v>1</v>
      </c>
      <c r="K47" s="9"/>
    </row>
    <row r="48" spans="1:11" ht="115.5" thickBot="1">
      <c r="A48" s="6">
        <v>44</v>
      </c>
      <c r="B48" s="90"/>
      <c r="C48" s="57" t="s">
        <v>28</v>
      </c>
      <c r="D48" s="58" t="s">
        <v>202</v>
      </c>
      <c r="E48" s="59" t="s">
        <v>29</v>
      </c>
      <c r="F48" s="59" t="s">
        <v>29</v>
      </c>
      <c r="G48" s="60"/>
      <c r="H48" s="61" t="s">
        <v>31</v>
      </c>
      <c r="I48" s="61" t="s">
        <v>16</v>
      </c>
      <c r="J48" s="62">
        <v>53</v>
      </c>
      <c r="K48" s="9"/>
    </row>
    <row r="49" spans="1:11" ht="26.25" thickBot="1">
      <c r="A49" s="6">
        <v>45</v>
      </c>
      <c r="B49" s="93" t="s">
        <v>119</v>
      </c>
      <c r="C49" s="102" t="s">
        <v>205</v>
      </c>
      <c r="D49" s="103" t="s">
        <v>31</v>
      </c>
      <c r="E49" s="103" t="s">
        <v>31</v>
      </c>
      <c r="F49" s="103" t="s">
        <v>204</v>
      </c>
      <c r="G49" s="103" t="s">
        <v>116</v>
      </c>
      <c r="H49" s="103" t="s">
        <v>116</v>
      </c>
      <c r="I49" s="103" t="s">
        <v>116</v>
      </c>
      <c r="J49" s="104">
        <v>1</v>
      </c>
      <c r="K49" s="9"/>
    </row>
    <row r="50" spans="1:11" ht="15.75" thickBot="1">
      <c r="A50" s="10">
        <v>46</v>
      </c>
      <c r="B50" s="94"/>
      <c r="C50" s="105" t="s">
        <v>120</v>
      </c>
      <c r="D50" s="106" t="s">
        <v>31</v>
      </c>
      <c r="E50" s="106" t="s">
        <v>31</v>
      </c>
      <c r="F50" s="106" t="s">
        <v>120</v>
      </c>
      <c r="G50" s="106" t="s">
        <v>31</v>
      </c>
      <c r="H50" s="106" t="s">
        <v>31</v>
      </c>
      <c r="I50" s="106" t="s">
        <v>16</v>
      </c>
      <c r="J50" s="107">
        <v>1</v>
      </c>
      <c r="K50" s="9"/>
    </row>
    <row r="51" spans="1:11" ht="15.75">
      <c r="A51" s="1"/>
      <c r="C51" s="2"/>
      <c r="D51" s="2"/>
      <c r="I51" s="7"/>
      <c r="J51" s="13"/>
      <c r="K51" s="9"/>
    </row>
    <row r="52" spans="1:11" ht="15.75">
      <c r="A52" s="1"/>
      <c r="C52" s="2"/>
      <c r="D52" s="2"/>
      <c r="I52" s="7"/>
      <c r="J52" s="13"/>
      <c r="K52" s="9"/>
    </row>
    <row r="53" spans="1:11">
      <c r="A53" s="1"/>
      <c r="C53" s="2"/>
      <c r="D53" s="2"/>
      <c r="K53" s="9"/>
    </row>
    <row r="54" spans="1:11">
      <c r="A54" s="1"/>
      <c r="C54" s="2"/>
      <c r="D54" s="2"/>
      <c r="K54" s="9"/>
    </row>
    <row r="55" spans="1:11">
      <c r="A55" s="1"/>
      <c r="C55" s="2"/>
      <c r="D55" s="2"/>
      <c r="K55" s="9"/>
    </row>
    <row r="56" spans="1:11">
      <c r="A56" s="1"/>
      <c r="C56" s="2"/>
      <c r="D56" s="2"/>
      <c r="K56" s="9"/>
    </row>
    <row r="57" spans="1:11">
      <c r="A57" s="1"/>
      <c r="C57" s="2"/>
      <c r="D57" s="2"/>
      <c r="K57" s="9"/>
    </row>
    <row r="58" spans="1:11">
      <c r="A58" s="1"/>
      <c r="K58" s="9"/>
    </row>
    <row r="59" spans="1:11" ht="15.75" customHeight="1">
      <c r="A59" s="1"/>
      <c r="K59" s="9"/>
    </row>
    <row r="60" spans="1:11">
      <c r="A60" s="1"/>
      <c r="K60" s="9"/>
    </row>
    <row r="61" spans="1:11">
      <c r="A61" s="1"/>
      <c r="K61" s="9"/>
    </row>
    <row r="62" spans="1:11">
      <c r="A62" s="1"/>
      <c r="K62" s="9"/>
    </row>
    <row r="63" spans="1:11">
      <c r="A63" s="1"/>
      <c r="K63" s="9"/>
    </row>
    <row r="64" spans="1:11">
      <c r="A64" s="1"/>
      <c r="K64" s="9"/>
    </row>
    <row r="65" spans="7:7">
      <c r="G65" s="8"/>
    </row>
    <row r="66" spans="7:7">
      <c r="G66" s="8"/>
    </row>
  </sheetData>
  <mergeCells count="9">
    <mergeCell ref="A1:J1"/>
    <mergeCell ref="B29:B33"/>
    <mergeCell ref="B34:B42"/>
    <mergeCell ref="B43:B48"/>
    <mergeCell ref="B26:B28"/>
    <mergeCell ref="B18:B19"/>
    <mergeCell ref="B49:B50"/>
    <mergeCell ref="B3:B17"/>
    <mergeCell ref="B20:B23"/>
  </mergeCells>
  <phoneticPr fontId="9" type="noConversion"/>
  <conditionalFormatting sqref="J3:J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8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{193AFC57-9059-4DAB-9E2A-67F7DD9723ED}</x14:id>
        </ext>
      </extLst>
    </cfRule>
  </conditionalFormatting>
  <conditionalFormatting sqref="J50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:J28 J34:J49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49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3AFC57-9059-4DAB-9E2A-67F7DD9723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Windows User</cp:lastModifiedBy>
  <dcterms:created xsi:type="dcterms:W3CDTF">2021-10-16T12:34:00Z</dcterms:created>
  <dcterms:modified xsi:type="dcterms:W3CDTF">2022-04-29T11:09:11Z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6B883EB8517F45A9B5A947128B6C1862</vt:lpwstr>
  </property>
  <property fmtid="{D5CDD505-2E9C-101B-9397-08002B2CF9AE}" pid="3" name="KSOProductBuildVer">
    <vt:lpwstr>1033-11.2.0.10323</vt:lpwstr>
  </property>
</Properties>
</file>