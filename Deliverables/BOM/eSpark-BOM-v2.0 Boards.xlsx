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03"/>
  <workbookPr/>
  <mc:AlternateContent xmlns:mc="http://schemas.openxmlformats.org/markup-compatibility/2006">
    <mc:Choice Requires="x15">
      <x15ac:absPath xmlns:x15ac="http://schemas.microsoft.com/office/spreadsheetml/2010/11/ac" url="D:\Github\Melih-SoundSensor\Deliverables\BOM\"/>
    </mc:Choice>
  </mc:AlternateContent>
  <xr:revisionPtr revIDLastSave="0" documentId="13_ncr:1_{30D43A09-080C-4044-B172-B56FBFE3844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7" i="1" l="1"/>
  <c r="R47" i="1"/>
  <c r="N47" i="1"/>
  <c r="O47" i="1"/>
  <c r="T40" i="1"/>
  <c r="T41" i="1"/>
  <c r="R41" i="1"/>
  <c r="R40" i="1"/>
  <c r="N41" i="1"/>
  <c r="O41" i="1"/>
  <c r="T46" i="1" l="1"/>
  <c r="R46" i="1"/>
  <c r="N46" i="1"/>
  <c r="O46" i="1"/>
  <c r="N40" i="1"/>
  <c r="O40" i="1"/>
  <c r="T23" i="1"/>
  <c r="R23" i="1"/>
  <c r="N23" i="1"/>
  <c r="O23" i="1"/>
  <c r="T17" i="1"/>
  <c r="R17" i="1"/>
  <c r="T16" i="1"/>
  <c r="R16" i="1"/>
  <c r="N17" i="1"/>
  <c r="O17" i="1"/>
  <c r="N16" i="1"/>
  <c r="O16" i="1"/>
  <c r="O49" i="1"/>
  <c r="T49" i="1" s="1"/>
  <c r="N49" i="1"/>
  <c r="R49" i="1" s="1"/>
  <c r="T4" i="1"/>
  <c r="T5" i="1"/>
  <c r="T6" i="1"/>
  <c r="T7" i="1"/>
  <c r="T8" i="1"/>
  <c r="T9" i="1"/>
  <c r="T10" i="1"/>
  <c r="T11" i="1"/>
  <c r="T12" i="1"/>
  <c r="T13" i="1"/>
  <c r="T14" i="1"/>
  <c r="T15" i="1"/>
  <c r="T18" i="1"/>
  <c r="T19" i="1"/>
  <c r="T20" i="1"/>
  <c r="T21" i="1"/>
  <c r="T22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2" i="1"/>
  <c r="T43" i="1"/>
  <c r="T44" i="1"/>
  <c r="T45" i="1"/>
  <c r="T3" i="1"/>
  <c r="O4" i="1"/>
  <c r="O5" i="1"/>
  <c r="O6" i="1"/>
  <c r="O7" i="1"/>
  <c r="O8" i="1"/>
  <c r="O9" i="1"/>
  <c r="O10" i="1"/>
  <c r="O11" i="1"/>
  <c r="O12" i="1"/>
  <c r="O13" i="1"/>
  <c r="O14" i="1"/>
  <c r="O15" i="1"/>
  <c r="O18" i="1"/>
  <c r="O19" i="1"/>
  <c r="O20" i="1"/>
  <c r="O21" i="1"/>
  <c r="O22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2" i="1"/>
  <c r="O43" i="1"/>
  <c r="O44" i="1"/>
  <c r="O45" i="1"/>
  <c r="O48" i="1"/>
  <c r="O50" i="1"/>
  <c r="T50" i="1" s="1"/>
  <c r="O3" i="1"/>
  <c r="N50" i="1"/>
  <c r="R50" i="1" s="1"/>
  <c r="T51" i="1" l="1"/>
  <c r="T52" i="1" s="1"/>
  <c r="T55" i="1" s="1"/>
  <c r="R32" i="1"/>
  <c r="N32" i="1"/>
  <c r="R21" i="1"/>
  <c r="R22" i="1"/>
  <c r="N22" i="1"/>
  <c r="N21" i="1"/>
  <c r="R19" i="1"/>
  <c r="R14" i="1"/>
  <c r="R15" i="1"/>
  <c r="N19" i="1"/>
  <c r="N15" i="1"/>
  <c r="N14" i="1"/>
  <c r="R39" i="1"/>
  <c r="N31" i="1"/>
  <c r="R31" i="1"/>
  <c r="R30" i="1"/>
  <c r="R28" i="1"/>
  <c r="N20" i="1"/>
  <c r="N18" i="1"/>
  <c r="R12" i="1"/>
  <c r="R13" i="1"/>
  <c r="R18" i="1"/>
  <c r="R20" i="1"/>
  <c r="R7" i="1"/>
  <c r="N7" i="1"/>
  <c r="N39" i="1"/>
  <c r="N30" i="1"/>
  <c r="N28" i="1"/>
  <c r="N13" i="1"/>
  <c r="N12" i="1"/>
  <c r="R26" i="1"/>
  <c r="R45" i="1"/>
  <c r="R4" i="1"/>
  <c r="R5" i="1"/>
  <c r="R6" i="1"/>
  <c r="R8" i="1"/>
  <c r="R9" i="1"/>
  <c r="R10" i="1"/>
  <c r="R11" i="1"/>
  <c r="R24" i="1"/>
  <c r="R25" i="1"/>
  <c r="R27" i="1"/>
  <c r="R29" i="1"/>
  <c r="R33" i="1"/>
  <c r="R34" i="1"/>
  <c r="R35" i="1"/>
  <c r="R36" i="1"/>
  <c r="R37" i="1"/>
  <c r="R38" i="1"/>
  <c r="R42" i="1"/>
  <c r="R43" i="1"/>
  <c r="R44" i="1"/>
  <c r="R3" i="1"/>
  <c r="N4" i="1"/>
  <c r="N5" i="1"/>
  <c r="N6" i="1"/>
  <c r="N8" i="1"/>
  <c r="N9" i="1"/>
  <c r="N10" i="1"/>
  <c r="N11" i="1"/>
  <c r="N24" i="1"/>
  <c r="N25" i="1"/>
  <c r="N26" i="1"/>
  <c r="N27" i="1"/>
  <c r="N29" i="1"/>
  <c r="N33" i="1"/>
  <c r="N34" i="1"/>
  <c r="N35" i="1"/>
  <c r="N36" i="1"/>
  <c r="N37" i="1"/>
  <c r="N38" i="1"/>
  <c r="N42" i="1"/>
  <c r="N43" i="1"/>
  <c r="N44" i="1"/>
  <c r="N45" i="1"/>
  <c r="N48" i="1"/>
  <c r="N3" i="1"/>
  <c r="R51" i="1" l="1"/>
  <c r="R52" i="1"/>
  <c r="R55" i="1" s="1"/>
</calcChain>
</file>

<file path=xl/sharedStrings.xml><?xml version="1.0" encoding="utf-8"?>
<sst xmlns="http://schemas.openxmlformats.org/spreadsheetml/2006/main" count="495" uniqueCount="301">
  <si>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</si>
  <si>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</si>
  <si>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</si>
  <si>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</si>
  <si>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</si>
  <si>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</si>
  <si>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</si>
  <si>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</si>
  <si>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</si>
  <si>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</si>
  <si>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</si>
  <si>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Link</t>
  </si>
  <si>
    <t>Remarks</t>
  </si>
  <si>
    <t>Quotation of orignal parts from Chinese supplier</t>
  </si>
  <si>
    <t>Capacitor</t>
  </si>
  <si>
    <t>1uF</t>
  </si>
  <si>
    <t>LCSC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</si>
  <si>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</si>
  <si>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</si>
  <si>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</si>
  <si>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</si>
  <si>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</si>
  <si>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</si>
  <si>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</si>
  <si>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</si>
  <si>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</si>
  <si>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</si>
  <si>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</si>
  <si>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</si>
  <si>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</si>
  <si>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</si>
  <si>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 xml:space="preserve">Texas </t>
  </si>
  <si>
    <t>Crystal</t>
  </si>
  <si>
    <t>X1</t>
  </si>
  <si>
    <t>J3</t>
  </si>
  <si>
    <t>Solder Bridge ON</t>
  </si>
  <si>
    <t>Solder Bridge</t>
  </si>
  <si>
    <t xml:space="preserve">Total Component Cost </t>
  </si>
  <si>
    <t>Single Board Cost</t>
  </si>
  <si>
    <t>--------</t>
  </si>
  <si>
    <t>-------</t>
  </si>
  <si>
    <t>J1</t>
  </si>
  <si>
    <t>J2</t>
  </si>
  <si>
    <t>Total with Shipping</t>
  </si>
  <si>
    <t>Quantity 5</t>
  </si>
  <si>
    <t>Unit Cost(5)</t>
  </si>
  <si>
    <t>MOQ Total 5</t>
  </si>
  <si>
    <t>LCSC/MOQ (5)</t>
  </si>
  <si>
    <t>CAP CER 10UF 25V X5R 0603</t>
  </si>
  <si>
    <t>Cap 0603</t>
  </si>
  <si>
    <t>CL10A106MA8NRNC</t>
  </si>
  <si>
    <t>C2</t>
  </si>
  <si>
    <t>CL10A475KA8NQNC</t>
  </si>
  <si>
    <t>CAP CER 1UF 25V X5R 0603</t>
  </si>
  <si>
    <t>CC0603KRX5R8BB105</t>
  </si>
  <si>
    <t>CAP CER 220PF 50V C0G/NPO 0402</t>
  </si>
  <si>
    <t>C4, C6, C8, C10, C12, C14, C16, C18</t>
  </si>
  <si>
    <t>Cap0402</t>
  </si>
  <si>
    <t>CC0402JRNPO9BN221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</si>
  <si>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</si>
  <si>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</si>
  <si>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</si>
  <si>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</si>
  <si>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</si>
  <si>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</si>
  <si>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</si>
  <si>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</si>
  <si>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</si>
  <si>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</si>
  <si>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</si>
  <si>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</si>
  <si>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</si>
  <si>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</si>
  <si>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</si>
  <si>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</si>
  <si>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</si>
  <si>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</si>
  <si>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</si>
  <si>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</si>
  <si>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</si>
  <si>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</si>
  <si>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</si>
  <si>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</si>
  <si>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</si>
  <si>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</si>
  <si>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CRGH0603J100K</t>
  </si>
  <si>
    <t>RES SMD 10K OHM 1% 1/10W 0603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</si>
  <si>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</si>
  <si>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</si>
  <si>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</si>
  <si>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</si>
  <si>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</si>
  <si>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</si>
  <si>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</si>
  <si>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</si>
  <si>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</si>
  <si>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</si>
  <si>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</si>
  <si>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</si>
  <si>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</si>
  <si>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</si>
  <si>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</si>
  <si>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</si>
  <si>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</si>
  <si>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</si>
  <si>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</si>
  <si>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</si>
  <si>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</si>
  <si>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2 PIN JST Connector</t>
  </si>
  <si>
    <t>2 Pin JST Connector</t>
  </si>
  <si>
    <t xml:space="preserve">Connector </t>
  </si>
  <si>
    <t xml:space="preserve">Samsung </t>
  </si>
  <si>
    <t>C2922482</t>
  </si>
  <si>
    <t>C69335</t>
  </si>
  <si>
    <t xml:space="preserve">YAGEO </t>
  </si>
  <si>
    <t>C14664</t>
  </si>
  <si>
    <t>C107001</t>
  </si>
  <si>
    <t>C113803</t>
  </si>
  <si>
    <t>Taiyo Yuden</t>
  </si>
  <si>
    <t>C386159</t>
  </si>
  <si>
    <t>C107040</t>
  </si>
  <si>
    <t>C2838708</t>
  </si>
  <si>
    <t xml:space="preserve">XKB </t>
  </si>
  <si>
    <t>C318893</t>
  </si>
  <si>
    <t xml:space="preserve">JYJE </t>
  </si>
  <si>
    <t>C2898996</t>
  </si>
  <si>
    <t xml:space="preserve">JGHC </t>
  </si>
  <si>
    <t>C390772</t>
  </si>
  <si>
    <t xml:space="preserve">RS-03K104JT
</t>
  </si>
  <si>
    <t>C73806</t>
  </si>
  <si>
    <t>FH</t>
  </si>
  <si>
    <t>C98220</t>
  </si>
  <si>
    <t>C2869734</t>
  </si>
  <si>
    <t xml:space="preserve">Torex </t>
  </si>
  <si>
    <t>C86534</t>
  </si>
  <si>
    <t>Alibaba</t>
  </si>
  <si>
    <t>30TSSOP</t>
  </si>
  <si>
    <t>SOT-363</t>
  </si>
  <si>
    <t xml:space="preserve">Changjiang </t>
  </si>
  <si>
    <t>C62892</t>
  </si>
  <si>
    <t xml:space="preserve">PINREX </t>
  </si>
  <si>
    <t>C390683</t>
  </si>
  <si>
    <t xml:space="preserve">DEALON </t>
  </si>
  <si>
    <t xml:space="preserve">C2904969
</t>
  </si>
  <si>
    <t>------</t>
  </si>
  <si>
    <t>---------</t>
  </si>
  <si>
    <t>TDK</t>
  </si>
  <si>
    <t>Alibaba Shipping</t>
  </si>
  <si>
    <t xml:space="preserve">XHB-2A
</t>
  </si>
  <si>
    <t xml:space="preserve">Do NOT Mount </t>
  </si>
  <si>
    <t>Bill of Material (BOM) for Melih Sound_Sensor</t>
  </si>
  <si>
    <t>Peripherals</t>
  </si>
  <si>
    <t>Battery</t>
  </si>
  <si>
    <t>Custom Supplier</t>
  </si>
  <si>
    <t>C3, C5, C7, C9, C11, C13, C15, C17, C27, C29, C53, C55, C70, C72, C76, C78, C85, C#1, C#2</t>
  </si>
  <si>
    <t>CAP CER 22PF 50V C0G/NP0 0402</t>
  </si>
  <si>
    <t>C19, C20</t>
  </si>
  <si>
    <t>Cap 0402</t>
  </si>
  <si>
    <t>04025A220FAT2A</t>
  </si>
  <si>
    <t>C1, C56, C57,C75</t>
  </si>
  <si>
    <t>CAP CER 100PF 25V X7R 0603</t>
  </si>
  <si>
    <t>C80</t>
  </si>
  <si>
    <t>CC0603KRX7R8BB101</t>
  </si>
  <si>
    <t>CAP CER 3300PF 50V X7R 0402</t>
  </si>
  <si>
    <t>C83</t>
  </si>
  <si>
    <t>CGA2B2X7R1H332M050BA</t>
  </si>
  <si>
    <t>40MHz SMD Crystal Resonator 15pF ±10ppm ±30ppm -40℃~+85℃ SMD3225-4P Crystals ROHS</t>
  </si>
  <si>
    <t>X4</t>
  </si>
  <si>
    <t>X322540MPB4SI</t>
  </si>
  <si>
    <t>R1, R2, R3</t>
  </si>
  <si>
    <t>R4</t>
  </si>
  <si>
    <t>RES SMD 20K OHM 1% 1/10W 0603</t>
  </si>
  <si>
    <t>R5</t>
  </si>
  <si>
    <t>RC0603FR-0720KL</t>
  </si>
  <si>
    <t>20K</t>
  </si>
  <si>
    <t>IC RF TXRX+MCU BLUETOOTH WIFI</t>
  </si>
  <si>
    <t>U7</t>
  </si>
  <si>
    <t>ESP32-D0WD-V3</t>
  </si>
  <si>
    <t>IC FLASH 8MBIT SPI 86MHZ 8SOP</t>
  </si>
  <si>
    <t>U8</t>
  </si>
  <si>
    <t>SOP-8</t>
  </si>
  <si>
    <t>MX25L8006EM2I-12G</t>
  </si>
  <si>
    <t>15V 19A 3.3V 4V Bidirectional SOD-323 ESD Protection Devices ROHS</t>
  </si>
  <si>
    <t>D1</t>
  </si>
  <si>
    <t>UDD32C03L01</t>
  </si>
  <si>
    <t>Diode</t>
  </si>
  <si>
    <t>2nH ±0.3nH 0603 Inductors</t>
  </si>
  <si>
    <t>L1</t>
  </si>
  <si>
    <t>IND 0603</t>
  </si>
  <si>
    <t>SDCL1608C2N0STDF</t>
  </si>
  <si>
    <t xml:space="preserve">Inductor </t>
  </si>
  <si>
    <t xml:space="preserve">CCTC </t>
  </si>
  <si>
    <t>C696857</t>
  </si>
  <si>
    <t>22pF</t>
  </si>
  <si>
    <t>C519410</t>
  </si>
  <si>
    <t>100pF</t>
  </si>
  <si>
    <t>C696855</t>
  </si>
  <si>
    <t>3.3nF</t>
  </si>
  <si>
    <t>C78439</t>
  </si>
  <si>
    <t>Brightking Elec</t>
  </si>
  <si>
    <t>TCC0402COG220J500AT</t>
  </si>
  <si>
    <t>TCC0402X7R332K500AT</t>
  </si>
  <si>
    <t xml:space="preserve">Sunlord </t>
  </si>
  <si>
    <t>C370234</t>
  </si>
  <si>
    <t>Yangxing</t>
  </si>
  <si>
    <t>C9010</t>
  </si>
  <si>
    <t>----</t>
  </si>
  <si>
    <t>C105575</t>
  </si>
  <si>
    <t xml:space="preserve">QFN-48
</t>
  </si>
  <si>
    <t xml:space="preserve">Espressif </t>
  </si>
  <si>
    <t>C967021</t>
  </si>
  <si>
    <t>MXIC</t>
  </si>
  <si>
    <t>C71947</t>
  </si>
  <si>
    <t>C21, C22, C23, C24, C25, C26, C28, C30, C31, C32, C33, C34, C35, C37, C38, C39, C40, C41, C42, C54, C58, C59, C71, C77, C79, C81, C82, C84, C87</t>
  </si>
  <si>
    <t>CAP SMD 4700pF ±10% 25V X7R 0603</t>
  </si>
  <si>
    <t>C86</t>
  </si>
  <si>
    <t>CC0603KRX7R8BB472</t>
  </si>
  <si>
    <t>CAP CER 33000pF ±10% 25V X7R 0603</t>
  </si>
  <si>
    <t>C88, C89</t>
  </si>
  <si>
    <t>CC0603KRX7R8BB333</t>
  </si>
  <si>
    <t>DIODE TVS SMD 5.5V 5A 90W</t>
  </si>
  <si>
    <t>D2, D3</t>
  </si>
  <si>
    <t>TPD1E10B06DPYR</t>
  </si>
  <si>
    <t>C505480</t>
  </si>
  <si>
    <t>4.7nF</t>
  </si>
  <si>
    <t>C113810</t>
  </si>
  <si>
    <t>33nF</t>
  </si>
  <si>
    <t>FIXED IND 3.3NH 1A 120 MOHM SMD</t>
  </si>
  <si>
    <t>L2, L3</t>
  </si>
  <si>
    <t>LQG18HN3N3S00D</t>
  </si>
  <si>
    <t>FIXED IND 1.2NH 1A 90 MOHM SMD</t>
  </si>
  <si>
    <t>L4, L5</t>
  </si>
  <si>
    <t>IND 0402</t>
  </si>
  <si>
    <t>LQG15HS1N2S02D</t>
  </si>
  <si>
    <t xml:space="preserve">Murata </t>
  </si>
  <si>
    <t>C77105</t>
  </si>
  <si>
    <t>RES SMD 0R, 1%, 0.1W, 0603</t>
  </si>
  <si>
    <t>R6, R7, R8, R9</t>
  </si>
  <si>
    <t>RC0603FR-070RL</t>
  </si>
  <si>
    <t>C100044</t>
  </si>
  <si>
    <t>0R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</si>
  <si>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SB70, SB71, SB72</t>
  </si>
  <si>
    <t>Aliexpress</t>
  </si>
  <si>
    <t>Quantity 20</t>
  </si>
  <si>
    <t>Unit Cost(20)</t>
  </si>
  <si>
    <t>MOQ Total 20</t>
  </si>
  <si>
    <t>LCSC/MOQ (20)</t>
  </si>
  <si>
    <t>Supplier / Karen</t>
  </si>
  <si>
    <t xml:space="preserve">Cell Holder </t>
  </si>
  <si>
    <t>Series 3.7V Flat Tip Battery Holder Case for 3 x 18650 Batteries</t>
  </si>
  <si>
    <t>Aliexpress Ahipping</t>
  </si>
  <si>
    <t>CAP SMD  2.7pF ±0.25pF 50V NPO 0603</t>
  </si>
  <si>
    <t>C90</t>
  </si>
  <si>
    <t>CC0603CRNPO9BN2R7</t>
  </si>
  <si>
    <t>CAP SMD 4.7pF ±0.1pF 50V NPO 0603</t>
  </si>
  <si>
    <t>C91</t>
  </si>
  <si>
    <t>CC0603BRNPO9BN4R7</t>
  </si>
  <si>
    <t>C282247</t>
  </si>
  <si>
    <t>2.7pF</t>
  </si>
  <si>
    <t>C327022</t>
  </si>
  <si>
    <t>4.7pF</t>
  </si>
  <si>
    <t>IND 700mA 1.6nH ±10% 40mΩ 0603</t>
  </si>
  <si>
    <t>L6</t>
  </si>
  <si>
    <t>FHW0603UC1N6KST</t>
  </si>
  <si>
    <t>C317978</t>
  </si>
  <si>
    <t>499R</t>
  </si>
  <si>
    <t>RES SMD 499Ω ± 1.00% 0.1W ± 100ppm/℃ 0603</t>
  </si>
  <si>
    <t>RC0603FR-07499RL</t>
  </si>
  <si>
    <t>C137714</t>
  </si>
  <si>
    <t>RF ANT 2.4GHZ STAMPED MET SLD</t>
  </si>
  <si>
    <t>U9</t>
  </si>
  <si>
    <t>PRO-OB-440</t>
  </si>
  <si>
    <t>CONN U.FL RCPT STR 50 OHM SMD</t>
  </si>
  <si>
    <t>J4</t>
  </si>
  <si>
    <t>U.FL-R-SMT-1(80)</t>
  </si>
  <si>
    <t>Hirose</t>
  </si>
  <si>
    <t>C88374</t>
  </si>
  <si>
    <t xml:space="preserve">
Abracon LLC</t>
  </si>
  <si>
    <t xml:space="preserve">Need Quotation from custum supplier </t>
  </si>
  <si>
    <t>R10,'R17</t>
  </si>
  <si>
    <t>U10</t>
  </si>
  <si>
    <t>P1</t>
  </si>
  <si>
    <t>IC PSRAM 64MBIT SPI 133MHZ 8SOIC</t>
  </si>
  <si>
    <t>SOIC-8</t>
  </si>
  <si>
    <t>ESP-PSRAM64H</t>
  </si>
  <si>
    <t>Adafruit Industries</t>
  </si>
  <si>
    <t>CONN HEADER VERT 6POS 2.54MM</t>
  </si>
  <si>
    <t>Würth Elektronik</t>
  </si>
  <si>
    <t>C37208</t>
  </si>
  <si>
    <t>USB 3.1 1 Surface Mount 6 Female -25℃~+85℃ Type-C SMD USB Connectors ROHS</t>
  </si>
  <si>
    <t>U262-061N-4BVC11</t>
  </si>
  <si>
    <t>XKB Connectivity</t>
  </si>
  <si>
    <t>C2764612</t>
  </si>
  <si>
    <t>Lesser price?</t>
  </si>
  <si>
    <t>Remarks (Faizan)</t>
  </si>
  <si>
    <t>Supplier / Hanson</t>
  </si>
  <si>
    <t>SOD-323</t>
  </si>
  <si>
    <t>C2972450</t>
  </si>
  <si>
    <t xml:space="preserve">
Leiditech</t>
  </si>
  <si>
    <t>Updated</t>
  </si>
  <si>
    <t>Out of stock. Will be arranged by 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</si>
</sst>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5" formatCode="&quot;$&quot;#,##0.00"/>
    <numFmt numFmtId="166" formatCode="_-[$$-409]* #,##0.00_ ;_-[$$-409]* \-#,##0.00\ ;_-[$$-409]* &quot;-&quot;??_ ;_-@_ "/>
  </numFmts>
  <fonts count="27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rgb="FFFF0000"/>
      <name val="Calibri"/>
      <family val="2"/>
    </font>
    <font>
      <b/>
      <strike/>
      <sz val="10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trike/>
      <sz val="10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rgb="FFFF0000"/>
      <name val="Calibri"/>
      <family val="2"/>
    </font>
    <font>
      <u/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9" fillId="0" borderId="7" xfId="0" applyFont="1" applyBorder="1" applyAlignment="1">
      <alignment horizontal="center" vertical="center"/>
    </xf>
    <xf numFmtId="165" fontId="9" fillId="0" borderId="13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9" fillId="0" borderId="1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/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165" fontId="9" fillId="0" borderId="2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11" xfId="0" applyBorder="1" applyAlignment="1"/>
    <xf numFmtId="165" fontId="0" fillId="0" borderId="15" xfId="0" applyNumberForma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0" fontId="16" fillId="0" borderId="7" xfId="0" quotePrefix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7" xfId="0" quotePrefix="1" applyFont="1" applyFill="1" applyBorder="1" applyAlignment="1">
      <alignment horizontal="center" vertical="center"/>
    </xf>
    <xf numFmtId="0" fontId="17" fillId="0" borderId="7" xfId="0" quotePrefix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9" xfId="0" quotePrefix="1" applyFont="1" applyFill="1" applyBorder="1" applyAlignment="1">
      <alignment horizontal="center" vertical="center"/>
    </xf>
    <xf numFmtId="0" fontId="17" fillId="0" borderId="9" xfId="0" quotePrefix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center" vertical="center"/>
    </xf>
    <xf numFmtId="164" fontId="17" fillId="0" borderId="12" xfId="0" applyNumberFormat="1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8" xfId="0" quotePrefix="1" applyFont="1" applyFill="1" applyBorder="1" applyAlignment="1">
      <alignment horizontal="center"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0" borderId="11" xfId="0" quotePrefix="1" applyFont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1" xfId="0" quotePrefix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165" fontId="17" fillId="0" borderId="9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center"/>
    </xf>
    <xf numFmtId="0" fontId="17" fillId="0" borderId="7" xfId="0" quotePrefix="1" applyFont="1" applyBorder="1" applyAlignment="1">
      <alignment horizontal="center"/>
    </xf>
    <xf numFmtId="164" fontId="21" fillId="0" borderId="7" xfId="1" applyNumberFormat="1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left" vertical="center"/>
    </xf>
    <xf numFmtId="0" fontId="17" fillId="0" borderId="9" xfId="0" quotePrefix="1" applyFont="1" applyBorder="1" applyAlignment="1">
      <alignment horizontal="center"/>
    </xf>
    <xf numFmtId="0" fontId="17" fillId="0" borderId="9" xfId="0" applyFont="1" applyBorder="1" applyAlignment="1">
      <alignment horizontal="center" vertical="center"/>
    </xf>
    <xf numFmtId="164" fontId="21" fillId="0" borderId="9" xfId="1" applyNumberFormat="1" applyFont="1" applyBorder="1" applyAlignment="1">
      <alignment horizontal="center" vertical="center"/>
    </xf>
    <xf numFmtId="0" fontId="21" fillId="0" borderId="9" xfId="1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6" xfId="0" quotePrefix="1" applyFont="1" applyBorder="1" applyAlignment="1">
      <alignment vertical="center" wrapText="1"/>
    </xf>
    <xf numFmtId="0" fontId="17" fillId="0" borderId="7" xfId="0" quotePrefix="1" applyFont="1" applyBorder="1" applyAlignment="1">
      <alignment horizontal="center" vertical="center" wrapText="1"/>
    </xf>
    <xf numFmtId="0" fontId="17" fillId="0" borderId="10" xfId="0" quotePrefix="1" applyFont="1" applyBorder="1" applyAlignment="1">
      <alignment vertical="center" wrapText="1"/>
    </xf>
    <xf numFmtId="0" fontId="17" fillId="0" borderId="11" xfId="0" quotePrefix="1" applyFont="1" applyBorder="1" applyAlignment="1">
      <alignment horizontal="center" vertical="center"/>
    </xf>
    <xf numFmtId="0" fontId="20" fillId="0" borderId="7" xfId="0" quotePrefix="1" applyFont="1" applyBorder="1" applyAlignment="1">
      <alignment horizontal="center" vertical="center"/>
    </xf>
    <xf numFmtId="0" fontId="17" fillId="0" borderId="8" xfId="0" quotePrefix="1" applyFont="1" applyBorder="1" applyAlignment="1">
      <alignment vertical="center" wrapText="1"/>
    </xf>
    <xf numFmtId="0" fontId="21" fillId="0" borderId="9" xfId="1" quotePrefix="1" applyFont="1" applyFill="1" applyBorder="1" applyAlignment="1">
      <alignment horizontal="center" vertical="center"/>
    </xf>
    <xf numFmtId="0" fontId="21" fillId="0" borderId="7" xfId="1" quotePrefix="1" applyFont="1" applyFill="1" applyBorder="1" applyAlignment="1">
      <alignment horizontal="center" vertical="center"/>
    </xf>
    <xf numFmtId="0" fontId="20" fillId="0" borderId="9" xfId="0" quotePrefix="1" applyFont="1" applyBorder="1" applyAlignment="1">
      <alignment horizontal="center" vertical="center"/>
    </xf>
    <xf numFmtId="0" fontId="17" fillId="7" borderId="8" xfId="0" quotePrefix="1" applyFont="1" applyFill="1" applyBorder="1" applyAlignment="1">
      <alignment vertical="center" wrapText="1"/>
    </xf>
    <xf numFmtId="0" fontId="17" fillId="7" borderId="9" xfId="0" quotePrefix="1" applyFont="1" applyFill="1" applyBorder="1" applyAlignment="1">
      <alignment horizontal="center" vertical="center"/>
    </xf>
    <xf numFmtId="0" fontId="16" fillId="7" borderId="9" xfId="0" quotePrefix="1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8" fillId="7" borderId="9" xfId="1" quotePrefix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7" fillId="0" borderId="9" xfId="1" quotePrefix="1" applyFill="1" applyBorder="1" applyAlignment="1">
      <alignment horizontal="center" vertical="center"/>
    </xf>
    <xf numFmtId="0" fontId="17" fillId="4" borderId="9" xfId="0" quotePrefix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quotePrefix="1" applyFont="1" applyBorder="1" applyAlignment="1">
      <alignment vertical="center" wrapText="1"/>
    </xf>
    <xf numFmtId="0" fontId="7" fillId="0" borderId="9" xfId="1" quotePrefix="1" applyBorder="1" applyAlignment="1">
      <alignment horizontal="center" vertical="center"/>
    </xf>
    <xf numFmtId="0" fontId="20" fillId="0" borderId="9" xfId="0" quotePrefix="1" applyFont="1" applyBorder="1" applyAlignment="1">
      <alignment horizontal="center"/>
    </xf>
    <xf numFmtId="165" fontId="4" fillId="0" borderId="25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7" fillId="0" borderId="9" xfId="1" applyNumberFormat="1" applyBorder="1" applyAlignment="1">
      <alignment horizontal="center" vertical="center"/>
    </xf>
    <xf numFmtId="0" fontId="7" fillId="0" borderId="9" xfId="1" applyBorder="1" applyAlignment="1">
      <alignment horizontal="center" vertical="center"/>
    </xf>
    <xf numFmtId="164" fontId="17" fillId="7" borderId="9" xfId="0" applyNumberFormat="1" applyFont="1" applyFill="1" applyBorder="1" applyAlignment="1">
      <alignment horizontal="center" vertical="center"/>
    </xf>
    <xf numFmtId="164" fontId="7" fillId="0" borderId="11" xfId="1" applyNumberForma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7" fillId="0" borderId="10" xfId="0" quotePrefix="1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164" fontId="17" fillId="0" borderId="18" xfId="0" applyNumberFormat="1" applyFont="1" applyBorder="1" applyAlignment="1">
      <alignment horizontal="center" vertical="center"/>
    </xf>
    <xf numFmtId="0" fontId="20" fillId="6" borderId="10" xfId="0" quotePrefix="1" applyFont="1" applyFill="1" applyBorder="1" applyAlignment="1">
      <alignment vertical="center" wrapText="1"/>
    </xf>
    <xf numFmtId="0" fontId="20" fillId="6" borderId="11" xfId="0" quotePrefix="1" applyFont="1" applyFill="1" applyBorder="1" applyAlignment="1">
      <alignment horizontal="center" vertical="center" wrapText="1"/>
    </xf>
    <xf numFmtId="0" fontId="20" fillId="6" borderId="11" xfId="0" quotePrefix="1" applyFont="1" applyFill="1" applyBorder="1" applyAlignment="1">
      <alignment horizontal="center" vertical="center"/>
    </xf>
    <xf numFmtId="0" fontId="19" fillId="6" borderId="11" xfId="1" quotePrefix="1" applyFont="1" applyFill="1" applyBorder="1" applyAlignment="1">
      <alignment horizontal="center" vertical="center"/>
    </xf>
    <xf numFmtId="164" fontId="20" fillId="6" borderId="11" xfId="0" quotePrefix="1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165" fontId="8" fillId="6" borderId="15" xfId="0" applyNumberFormat="1" applyFont="1" applyFill="1" applyBorder="1" applyAlignment="1">
      <alignment horizontal="center" vertical="center"/>
    </xf>
    <xf numFmtId="0" fontId="17" fillId="0" borderId="9" xfId="0" quotePrefix="1" applyFont="1" applyBorder="1" applyAlignment="1">
      <alignment horizontal="center" vertical="center" wrapText="1"/>
    </xf>
    <xf numFmtId="0" fontId="17" fillId="7" borderId="9" xfId="0" quotePrefix="1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/>
    </xf>
    <xf numFmtId="164" fontId="22" fillId="4" borderId="11" xfId="0" quotePrefix="1" applyNumberFormat="1" applyFont="1" applyFill="1" applyBorder="1" applyAlignment="1">
      <alignment horizontal="center" vertical="center"/>
    </xf>
    <xf numFmtId="165" fontId="22" fillId="4" borderId="11" xfId="0" quotePrefix="1" applyNumberFormat="1" applyFont="1" applyFill="1" applyBorder="1" applyAlignment="1">
      <alignment horizontal="center" vertical="center"/>
    </xf>
    <xf numFmtId="0" fontId="17" fillId="0" borderId="11" xfId="0" quotePrefix="1" applyFont="1" applyBorder="1" applyAlignment="1">
      <alignment horizontal="center"/>
    </xf>
    <xf numFmtId="164" fontId="7" fillId="0" borderId="7" xfId="1" applyNumberFormat="1" applyBorder="1" applyAlignment="1">
      <alignment horizontal="center" vertical="center"/>
    </xf>
    <xf numFmtId="0" fontId="17" fillId="4" borderId="9" xfId="0" quotePrefix="1" applyFont="1" applyFill="1" applyBorder="1" applyAlignment="1">
      <alignment horizontal="center" vertical="center" wrapText="1"/>
    </xf>
    <xf numFmtId="0" fontId="17" fillId="4" borderId="7" xfId="0" quotePrefix="1" applyFont="1" applyFill="1" applyBorder="1" applyAlignment="1">
      <alignment horizontal="center" vertical="center"/>
    </xf>
    <xf numFmtId="0" fontId="22" fillId="4" borderId="10" xfId="0" quotePrefix="1" applyFont="1" applyFill="1" applyBorder="1" applyAlignment="1">
      <alignment vertical="center" wrapText="1"/>
    </xf>
    <xf numFmtId="0" fontId="23" fillId="4" borderId="11" xfId="0" quotePrefix="1" applyFont="1" applyFill="1" applyBorder="1" applyAlignment="1">
      <alignment horizontal="center" vertical="center" wrapText="1"/>
    </xf>
    <xf numFmtId="0" fontId="22" fillId="4" borderId="11" xfId="0" quotePrefix="1" applyFont="1" applyFill="1" applyBorder="1" applyAlignment="1">
      <alignment horizontal="center" vertical="center" wrapText="1"/>
    </xf>
    <xf numFmtId="165" fontId="8" fillId="4" borderId="15" xfId="0" applyNumberFormat="1" applyFont="1" applyFill="1" applyBorder="1" applyAlignment="1">
      <alignment horizontal="center" vertical="center"/>
    </xf>
    <xf numFmtId="0" fontId="17" fillId="4" borderId="11" xfId="0" quotePrefix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0" fillId="0" borderId="9" xfId="0" applyBorder="1" applyAlignment="1"/>
    <xf numFmtId="0" fontId="7" fillId="4" borderId="11" xfId="1" quotePrefix="1" applyFill="1" applyBorder="1" applyAlignment="1">
      <alignment horizontal="center" vertical="center"/>
    </xf>
    <xf numFmtId="0" fontId="0" fillId="0" borderId="7" xfId="0" applyBorder="1" applyAlignment="1"/>
    <xf numFmtId="165" fontId="4" fillId="0" borderId="12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 wrapText="1"/>
    </xf>
    <xf numFmtId="0" fontId="17" fillId="6" borderId="9" xfId="0" quotePrefix="1" applyFont="1" applyFill="1" applyBorder="1" applyAlignment="1">
      <alignment horizontal="center" vertical="center"/>
    </xf>
    <xf numFmtId="0" fontId="17" fillId="6" borderId="11" xfId="0" quotePrefix="1" applyFont="1" applyFill="1" applyBorder="1" applyAlignment="1">
      <alignment horizontal="center" vertical="center"/>
    </xf>
    <xf numFmtId="0" fontId="17" fillId="4" borderId="7" xfId="0" quotePrefix="1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1" fillId="0" borderId="7" xfId="1" applyFont="1" applyBorder="1" applyAlignment="1">
      <alignment horizontal="center" vertical="center"/>
    </xf>
    <xf numFmtId="0" fontId="17" fillId="4" borderId="11" xfId="0" quotePrefix="1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1" fillId="0" borderId="11" xfId="1" applyFont="1" applyBorder="1" applyAlignment="1">
      <alignment horizontal="center" vertical="center"/>
    </xf>
    <xf numFmtId="0" fontId="17" fillId="8" borderId="8" xfId="0" quotePrefix="1" applyFont="1" applyFill="1" applyBorder="1" applyAlignment="1">
      <alignment vertical="center" wrapText="1"/>
    </xf>
    <xf numFmtId="0" fontId="17" fillId="8" borderId="9" xfId="0" quotePrefix="1" applyFont="1" applyFill="1" applyBorder="1" applyAlignment="1">
      <alignment horizontal="center" vertical="center" wrapText="1"/>
    </xf>
    <xf numFmtId="0" fontId="17" fillId="8" borderId="9" xfId="0" quotePrefix="1" applyFont="1" applyFill="1" applyBorder="1" applyAlignment="1">
      <alignment horizontal="center" vertical="center"/>
    </xf>
    <xf numFmtId="0" fontId="16" fillId="8" borderId="9" xfId="0" quotePrefix="1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21" fillId="8" borderId="9" xfId="1" quotePrefix="1" applyFont="1" applyFill="1" applyBorder="1" applyAlignment="1">
      <alignment horizontal="center" vertical="center"/>
    </xf>
    <xf numFmtId="164" fontId="16" fillId="8" borderId="9" xfId="0" applyNumberFormat="1" applyFont="1" applyFill="1" applyBorder="1" applyAlignment="1">
      <alignment horizontal="center" vertical="center"/>
    </xf>
    <xf numFmtId="164" fontId="17" fillId="8" borderId="9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165" fontId="9" fillId="8" borderId="14" xfId="0" applyNumberFormat="1" applyFont="1" applyFill="1" applyBorder="1" applyAlignment="1">
      <alignment horizontal="center" vertical="center"/>
    </xf>
    <xf numFmtId="165" fontId="17" fillId="8" borderId="9" xfId="0" applyNumberFormat="1" applyFont="1" applyFill="1" applyBorder="1" applyAlignment="1">
      <alignment horizontal="center" vertical="center"/>
    </xf>
    <xf numFmtId="165" fontId="11" fillId="8" borderId="9" xfId="0" applyNumberFormat="1" applyFont="1" applyFill="1" applyBorder="1" applyAlignment="1">
      <alignment horizontal="center" vertical="center"/>
    </xf>
    <xf numFmtId="165" fontId="11" fillId="8" borderId="14" xfId="0" applyNumberFormat="1" applyFont="1" applyFill="1" applyBorder="1" applyAlignment="1">
      <alignment horizontal="center" vertical="center"/>
    </xf>
    <xf numFmtId="0" fontId="24" fillId="8" borderId="9" xfId="0" applyFont="1" applyFill="1" applyBorder="1" applyAlignment="1">
      <alignment horizontal="center" vertical="center"/>
    </xf>
    <xf numFmtId="0" fontId="7" fillId="8" borderId="9" xfId="1" quotePrefix="1" applyFill="1" applyBorder="1" applyAlignment="1">
      <alignment horizontal="center" vertical="center"/>
    </xf>
    <xf numFmtId="165" fontId="17" fillId="9" borderId="9" xfId="0" applyNumberFormat="1" applyFont="1" applyFill="1" applyBorder="1" applyAlignment="1">
      <alignment horizontal="center" vertical="center"/>
    </xf>
    <xf numFmtId="164" fontId="17" fillId="9" borderId="9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7" fillId="4" borderId="8" xfId="0" quotePrefix="1" applyFont="1" applyFill="1" applyBorder="1" applyAlignment="1">
      <alignment vertical="center" wrapText="1"/>
    </xf>
    <xf numFmtId="0" fontId="7" fillId="4" borderId="9" xfId="1" quotePrefix="1" applyFill="1" applyBorder="1" applyAlignment="1">
      <alignment horizontal="center" vertical="center"/>
    </xf>
    <xf numFmtId="164" fontId="16" fillId="4" borderId="9" xfId="0" applyNumberFormat="1" applyFont="1" applyFill="1" applyBorder="1" applyAlignment="1">
      <alignment horizontal="center" vertical="center"/>
    </xf>
    <xf numFmtId="164" fontId="17" fillId="4" borderId="9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165" fontId="9" fillId="4" borderId="14" xfId="0" applyNumberFormat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11" fillId="8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4" borderId="12" xfId="0" quotePrefix="1" applyFont="1" applyFill="1" applyBorder="1" applyAlignment="1">
      <alignment horizontal="center" vertical="center"/>
    </xf>
    <xf numFmtId="0" fontId="17" fillId="0" borderId="12" xfId="0" quotePrefix="1" applyFont="1" applyBorder="1" applyAlignment="1">
      <alignment horizontal="center" vertical="center" wrapText="1"/>
    </xf>
    <xf numFmtId="0" fontId="17" fillId="0" borderId="12" xfId="0" quotePrefix="1" applyFont="1" applyBorder="1" applyAlignment="1">
      <alignment horizontal="center" vertical="center"/>
    </xf>
    <xf numFmtId="0" fontId="16" fillId="0" borderId="12" xfId="0" quotePrefix="1" applyFont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2" xfId="0" quotePrefix="1" applyFont="1" applyFill="1" applyBorder="1" applyAlignment="1">
      <alignment horizontal="center" vertical="center"/>
    </xf>
    <xf numFmtId="164" fontId="7" fillId="0" borderId="12" xfId="1" applyNumberFormat="1" applyBorder="1" applyAlignment="1">
      <alignment horizontal="center" vertical="center"/>
    </xf>
    <xf numFmtId="164" fontId="16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7" fillId="0" borderId="18" xfId="1" quotePrefix="1" applyBorder="1" applyAlignment="1">
      <alignment horizontal="center" vertical="center"/>
    </xf>
    <xf numFmtId="0" fontId="17" fillId="8" borderId="12" xfId="0" quotePrefix="1" applyFont="1" applyFill="1" applyBorder="1" applyAlignment="1">
      <alignment horizontal="center" vertical="center" wrapText="1"/>
    </xf>
    <xf numFmtId="0" fontId="17" fillId="8" borderId="12" xfId="0" quotePrefix="1" applyFont="1" applyFill="1" applyBorder="1" applyAlignment="1">
      <alignment horizontal="center" vertical="center"/>
    </xf>
    <xf numFmtId="0" fontId="16" fillId="8" borderId="12" xfId="0" quotePrefix="1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21" fillId="8" borderId="12" xfId="1" quotePrefix="1" applyFont="1" applyFill="1" applyBorder="1" applyAlignment="1">
      <alignment horizontal="center" vertical="center"/>
    </xf>
    <xf numFmtId="164" fontId="16" fillId="8" borderId="12" xfId="0" applyNumberFormat="1" applyFont="1" applyFill="1" applyBorder="1" applyAlignment="1">
      <alignment horizontal="center" vertical="center"/>
    </xf>
    <xf numFmtId="164" fontId="17" fillId="8" borderId="12" xfId="0" applyNumberFormat="1" applyFont="1" applyFill="1" applyBorder="1" applyAlignment="1">
      <alignment horizontal="center" vertical="center"/>
    </xf>
    <xf numFmtId="0" fontId="17" fillId="7" borderId="29" xfId="0" quotePrefix="1" applyFont="1" applyFill="1" applyBorder="1" applyAlignment="1">
      <alignment horizontal="center" vertical="center" wrapText="1"/>
    </xf>
    <xf numFmtId="0" fontId="17" fillId="7" borderId="29" xfId="0" quotePrefix="1" applyFont="1" applyFill="1" applyBorder="1" applyAlignment="1">
      <alignment horizontal="center" vertical="center"/>
    </xf>
    <xf numFmtId="0" fontId="16" fillId="7" borderId="29" xfId="0" quotePrefix="1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horizontal="center" vertical="center"/>
    </xf>
    <xf numFmtId="0" fontId="21" fillId="7" borderId="29" xfId="1" quotePrefix="1" applyFont="1" applyFill="1" applyBorder="1" applyAlignment="1">
      <alignment horizontal="center" vertical="center"/>
    </xf>
    <xf numFmtId="164" fontId="16" fillId="7" borderId="29" xfId="0" applyNumberFormat="1" applyFont="1" applyFill="1" applyBorder="1" applyAlignment="1">
      <alignment horizontal="center" vertical="center"/>
    </xf>
    <xf numFmtId="164" fontId="17" fillId="7" borderId="29" xfId="0" applyNumberFormat="1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16" fillId="8" borderId="12" xfId="0" quotePrefix="1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21" fillId="8" borderId="12" xfId="1" quotePrefix="1" applyFont="1" applyFill="1" applyBorder="1" applyAlignment="1">
      <alignment horizontal="center" vertical="center" wrapText="1"/>
    </xf>
    <xf numFmtId="164" fontId="16" fillId="8" borderId="12" xfId="0" applyNumberFormat="1" applyFont="1" applyFill="1" applyBorder="1" applyAlignment="1">
      <alignment horizontal="center" vertical="center" wrapText="1"/>
    </xf>
    <xf numFmtId="164" fontId="17" fillId="8" borderId="12" xfId="0" applyNumberFormat="1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17" fillId="0" borderId="30" xfId="0" quotePrefix="1" applyFont="1" applyBorder="1" applyAlignment="1">
      <alignment horizontal="center" vertical="center" wrapText="1"/>
    </xf>
    <xf numFmtId="0" fontId="17" fillId="0" borderId="30" xfId="0" quotePrefix="1" applyFont="1" applyBorder="1" applyAlignment="1">
      <alignment horizontal="center" vertical="center"/>
    </xf>
    <xf numFmtId="0" fontId="16" fillId="0" borderId="30" xfId="0" quotePrefix="1" applyFont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4" borderId="30" xfId="0" quotePrefix="1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21" fillId="0" borderId="30" xfId="1" quotePrefix="1" applyFont="1" applyBorder="1" applyAlignment="1">
      <alignment horizontal="center" vertical="center"/>
    </xf>
    <xf numFmtId="164" fontId="16" fillId="0" borderId="30" xfId="0" applyNumberFormat="1" applyFont="1" applyBorder="1" applyAlignment="1">
      <alignment horizontal="center" vertical="center"/>
    </xf>
    <xf numFmtId="164" fontId="17" fillId="0" borderId="30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5" fontId="9" fillId="0" borderId="31" xfId="0" applyNumberFormat="1" applyFont="1" applyBorder="1" applyAlignment="1">
      <alignment horizontal="center" vertical="center"/>
    </xf>
    <xf numFmtId="0" fontId="17" fillId="0" borderId="24" xfId="0" quotePrefix="1" applyFont="1" applyBorder="1" applyAlignment="1">
      <alignment horizontal="left" vertical="center" wrapText="1"/>
    </xf>
    <xf numFmtId="0" fontId="17" fillId="7" borderId="32" xfId="0" quotePrefix="1" applyFont="1" applyFill="1" applyBorder="1">
      <alignment vertical="center"/>
    </xf>
    <xf numFmtId="0" fontId="17" fillId="0" borderId="33" xfId="0" quotePrefix="1" applyFont="1" applyBorder="1" applyAlignment="1">
      <alignment vertical="center" wrapText="1"/>
    </xf>
    <xf numFmtId="0" fontId="17" fillId="8" borderId="24" xfId="0" quotePrefix="1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21" fillId="0" borderId="18" xfId="1" quotePrefix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22" fillId="0" borderId="6" xfId="0" quotePrefix="1" applyFont="1" applyBorder="1" applyAlignment="1">
      <alignment vertical="center" wrapText="1"/>
    </xf>
    <xf numFmtId="0" fontId="22" fillId="4" borderId="7" xfId="0" quotePrefix="1" applyFont="1" applyFill="1" applyBorder="1" applyAlignment="1">
      <alignment horizontal="center" vertical="center" wrapText="1"/>
    </xf>
    <xf numFmtId="0" fontId="26" fillId="4" borderId="7" xfId="1" quotePrefix="1" applyFont="1" applyFill="1" applyBorder="1" applyAlignment="1">
      <alignment horizontal="center" vertical="center" wrapText="1"/>
    </xf>
    <xf numFmtId="165" fontId="17" fillId="0" borderId="7" xfId="0" applyNumberFormat="1" applyFont="1" applyBorder="1" applyAlignment="1">
      <alignment horizontal="center" vertical="center"/>
    </xf>
    <xf numFmtId="165" fontId="22" fillId="4" borderId="7" xfId="0" quotePrefix="1" applyNumberFormat="1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165" fontId="9" fillId="7" borderId="36" xfId="0" applyNumberFormat="1" applyFont="1" applyFill="1" applyBorder="1" applyAlignment="1">
      <alignment horizontal="center" vertical="center"/>
    </xf>
    <xf numFmtId="165" fontId="9" fillId="8" borderId="25" xfId="0" applyNumberFormat="1" applyFont="1" applyFill="1" applyBorder="1" applyAlignment="1">
      <alignment horizontal="center" vertical="center" wrapText="1"/>
    </xf>
    <xf numFmtId="165" fontId="25" fillId="6" borderId="25" xfId="0" applyNumberFormat="1" applyFont="1" applyFill="1" applyBorder="1" applyAlignment="1">
      <alignment horizontal="center" vertical="center"/>
    </xf>
    <xf numFmtId="165" fontId="17" fillId="9" borderId="14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7" fillId="4" borderId="20" xfId="0" quotePrefix="1" applyFont="1" applyFill="1" applyBorder="1" applyAlignment="1">
      <alignment horizontal="left" vertical="center" wrapText="1"/>
    </xf>
    <xf numFmtId="0" fontId="17" fillId="4" borderId="18" xfId="0" quotePrefix="1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64" fontId="7" fillId="4" borderId="18" xfId="1" applyNumberFormat="1" applyFill="1" applyBorder="1" applyAlignment="1">
      <alignment horizontal="center" vertical="center"/>
    </xf>
    <xf numFmtId="164" fontId="16" fillId="4" borderId="18" xfId="0" applyNumberFormat="1" applyFont="1" applyFill="1" applyBorder="1" applyAlignment="1">
      <alignment horizontal="center" vertical="center"/>
    </xf>
    <xf numFmtId="164" fontId="17" fillId="4" borderId="18" xfId="0" applyNumberFormat="1" applyFont="1" applyFill="1" applyBorder="1" applyAlignment="1">
      <alignment horizontal="center" vertical="center"/>
    </xf>
    <xf numFmtId="0" fontId="0" fillId="4" borderId="18" xfId="0" applyFill="1" applyBorder="1" applyAlignment="1"/>
    <xf numFmtId="0" fontId="9" fillId="4" borderId="18" xfId="0" applyFont="1" applyFill="1" applyBorder="1" applyAlignment="1">
      <alignment horizontal="center" vertical="center"/>
    </xf>
    <xf numFmtId="165" fontId="25" fillId="4" borderId="2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Chip-Resistor-Surface-Mount_YAGEO-RC0603FR-0710KL_C98220.html" TargetMode="External"/><Relationship Id="rId18" Type="http://schemas.openxmlformats.org/officeDocument/2006/relationships/hyperlink" Target="https://www.aliexpress.com/item/1005004089435268.html?spm=a2g0o.productlist.0.0.6d4c23a3IMpOB5&amp;algo_pvid=0ff5ad9b-4e6d-40bb-b285-c7d8d4844c1b&amp;algo_exp_id=0ff5ad9b-4e6d-40bb-b285-c7d8d4844c1b-1&amp;pdp_ext_f=%7B%22sku_id%22%3A%2212000027995766890%22%7D&amp;pdp_pi=-1%3B6.5%3B-1%3B10.35%40salePrice%3BUSD%3Bsearch-mainSearch" TargetMode="External"/><Relationship Id="rId26" Type="http://schemas.openxmlformats.org/officeDocument/2006/relationships/hyperlink" Target="https://lcsc.com/product-detail/Chip-Resistor-Surface-Mount_YAGEO-RC0603FR-0720KL_C105575.html" TargetMode="External"/><Relationship Id="rId39" Type="http://schemas.openxmlformats.org/officeDocument/2006/relationships/hyperlink" Target="https://www.lcsc.com/product-detail/Pin-Headers_BOOMELE-Boom-Precision-Elec-C37208_C37208.html" TargetMode="External"/><Relationship Id="rId21" Type="http://schemas.openxmlformats.org/officeDocument/2006/relationships/hyperlink" Target="https://lcsc.com/product-detail/Multilayer-Ceramic-Capacitors-MLCC-SMD-SMT_YAGEO-CC0603KRX7R8BB101_C519410.html" TargetMode="External"/><Relationship Id="rId34" Type="http://schemas.openxmlformats.org/officeDocument/2006/relationships/hyperlink" Target="https://lcsc.com/product-detail/Multilayer-Ceramic-Capacitors-MLCC-SMD-SMT_YAGEO-CC0603CRNPO9BN2R7_C282247.html" TargetMode="External"/><Relationship Id="rId42" Type="http://schemas.openxmlformats.org/officeDocument/2006/relationships/hyperlink" Target="https://lcsc.com/product-detail/Inductors-SMD_FH-Guangdong-Fenghua-Advanced-Tech-FHW0603UC1N6KST_C317978.html" TargetMode="External"/><Relationship Id="rId7" Type="http://schemas.openxmlformats.org/officeDocument/2006/relationships/hyperlink" Target="https://lcsc.com/product-detail/Multilayer-Ceramic-Capacitors-MLCC-SMD-SMT_YAGEO-CC0603JRNPO9BN180_C107040.html" TargetMode="External"/><Relationship Id="rId2" Type="http://schemas.openxmlformats.org/officeDocument/2006/relationships/hyperlink" Target="https://lcsc.com/product-detail/Multilayer-Ceramic-Capacitors-MLCC-SMD-SMT_Samsung-Electro-Mechanics-CL10A475KA8NQNC_C69335.html" TargetMode="External"/><Relationship Id="rId16" Type="http://schemas.openxmlformats.org/officeDocument/2006/relationships/hyperlink" Target="https://lcsc.com/product-detail/span-style-background-color-ff0-Pin-span-Headers_PINREX-210-91-05GB03_C390683.html" TargetMode="External"/><Relationship Id="rId29" Type="http://schemas.openxmlformats.org/officeDocument/2006/relationships/hyperlink" Target="https://lcsc.com/product-detail/Multilayer-Ceramic-Capacitors-MLCC-SMD-SMT_YAGEO-CC0603KRX7R8BB472_C505480.html" TargetMode="External"/><Relationship Id="rId1" Type="http://schemas.openxmlformats.org/officeDocument/2006/relationships/hyperlink" Target="https://lcsc.com/product-detail/Multilayer-Ceramic-Capacitors-MLCC-SMD-SMT_Samsung-Electro-Mechanics-CL10A106MA8NRNC_C2922482.html" TargetMode="External"/><Relationship Id="rId6" Type="http://schemas.openxmlformats.org/officeDocument/2006/relationships/hyperlink" Target="https://lcsc.com/product-detail/Multilayer-Ceramic-Capacitors-MLCC-SMD-SMT_Taiyo-Yuden-UMK107C7224KAHTE_C386159.html" TargetMode="External"/><Relationship Id="rId11" Type="http://schemas.openxmlformats.org/officeDocument/2006/relationships/hyperlink" Target="https://lcsc.com/product-detail/Crystals_JGHC-S3224576121060_C390772.html" TargetMode="External"/><Relationship Id="rId24" Type="http://schemas.openxmlformats.org/officeDocument/2006/relationships/hyperlink" Target="https://lcsc.com/product-detail/Inductors-SMD_Sunlord-SDCL1608C2N0STDF_C370234.html" TargetMode="External"/><Relationship Id="rId32" Type="http://schemas.openxmlformats.org/officeDocument/2006/relationships/hyperlink" Target="https://www.aliexpress.com/item/1005003823792516.html?spm=a2g0o.productlist.0.0.77dd5f67KDjf0B&amp;algo_pvid=e1c498ce-9dd1-40f2-800b-4f4ee8afe631&amp;algo_exp_id=e1c498ce-9dd1-40f2-800b-4f4ee8afe631-5&amp;pdp_ext_f=%7B%22sku_id%22%3A%2212000027278380661%22%7D&amp;pdp_pi=-1%3B3.35%3B-1%3B0.38%40salePrice%3BUSD%3Bsearch-mainSearch" TargetMode="External"/><Relationship Id="rId37" Type="http://schemas.openxmlformats.org/officeDocument/2006/relationships/hyperlink" Target="https://lcsc.com/product-detail/RF-Connectors-Coaxial-Connectors_HRS-Hirose-U-FL-R-SMT-1-80_C88374.html" TargetMode="External"/><Relationship Id="rId40" Type="http://schemas.openxmlformats.org/officeDocument/2006/relationships/hyperlink" Target="https://lcsc.com/product-detail/ESD-Protection-Devices_Leiditech-TPD1E10B06DPYR_C2972450.html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lcsc.com/product-detail/Multilayer-Ceramic-Capacitors-MLCC-SMD-SMT_YAGEO-CC0603KRX7R0BB104_C113803.html" TargetMode="External"/><Relationship Id="rId15" Type="http://schemas.openxmlformats.org/officeDocument/2006/relationships/hyperlink" Target="https://lcsc.com/product-detail/Digital-Transistors_Changjiang-Electronics-Tech-CJ-UMH3N_C62892.html" TargetMode="External"/><Relationship Id="rId23" Type="http://schemas.openxmlformats.org/officeDocument/2006/relationships/hyperlink" Target="https://lcsc.com/product-detail/ESD-Protection-Devices_Brightking-Elec-TAIWAN-UDD32C03L01_C78439.html" TargetMode="External"/><Relationship Id="rId28" Type="http://schemas.openxmlformats.org/officeDocument/2006/relationships/hyperlink" Target="https://lcsc.com/product-detail/NOR-FLASH_MXIC-Macronix-MX25L8006EM2I-12G_C71947.html" TargetMode="External"/><Relationship Id="rId36" Type="http://schemas.openxmlformats.org/officeDocument/2006/relationships/hyperlink" Target="https://lcsc.com/product-detail/Chip-Resistor-Surface-Mount_YAGEO-RC0603FR-07499RL_C137714.html" TargetMode="External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www.lcsc.com/product-detail/USB-Connectors_XKB-Connectivity-U262-061N-4BVC11_C2764612.htmlhttps:/lcsc.com/product-detail/USB-Connectors_Amphenol-ICC-10118194-0001LF_C132563.html" TargetMode="External"/><Relationship Id="rId31" Type="http://schemas.openxmlformats.org/officeDocument/2006/relationships/hyperlink" Target="https://lcsc.com/product-detail/Chip-Resistor-Surface-Mount_YAGEO-RC0603FR-070RL_C100044.html" TargetMode="External"/><Relationship Id="rId44" Type="http://schemas.openxmlformats.org/officeDocument/2006/relationships/hyperlink" Target="https://www.aliexpress.com/item/1005004089435268.html?spm=a2g0o.productlist.0.0.6d4c23a3IMpOB5&amp;algo_pvid=0ff5ad9b-4e6d-40bb-b285-c7d8d4844c1b&amp;algo_exp_id=0ff5ad9b-4e6d-40bb-b285-c7d8d4844c1b-1&amp;pdp_ext_f=%7B%22sku_id%22%3A%2212000027995766890%22%7D&amp;pdp_pi=-1%3B6.5%3B-1%3B10.35%40salePrice%3BUSD%3Bsearch-mainSearch" TargetMode="External"/><Relationship Id="rId4" Type="http://schemas.openxmlformats.org/officeDocument/2006/relationships/hyperlink" Target="https://lcsc.com/product-detail/Multilayer-Ceramic-Capacitors-MLCC-SMD-SMT_YAGEO-CC0402JRNPO9BN221_C107001.html" TargetMode="External"/><Relationship Id="rId9" Type="http://schemas.openxmlformats.org/officeDocument/2006/relationships/hyperlink" Target="https://lcsc.com/product-detail/Tactile-Switches_XKB-Connectivity-TS-1185EC-C-D-B_C318893.html" TargetMode="External"/><Relationship Id="rId14" Type="http://schemas.openxmlformats.org/officeDocument/2006/relationships/hyperlink" Target="https://lcsc.com/product-detail/Linear-Voltage-Regulators-LDO_Torex-Semicon-XC6220B331MR-G_C86534.html" TargetMode="External"/><Relationship Id="rId22" Type="http://schemas.openxmlformats.org/officeDocument/2006/relationships/hyperlink" Target="https://lcsc.com/product-detail/Multilayer-Ceramic-Capacitors-MLCC-SMD-SMT_CCTC-TCC0402X7R332K500AT_C696855.html" TargetMode="External"/><Relationship Id="rId27" Type="http://schemas.openxmlformats.org/officeDocument/2006/relationships/hyperlink" Target="https://lcsc.com/product-detail/RF-Transceiver-ICs_Espressif-Systems-ESP32-D0WD-V3_C967021.html" TargetMode="External"/><Relationship Id="rId30" Type="http://schemas.openxmlformats.org/officeDocument/2006/relationships/hyperlink" Target="https://lcsc.com/product-detail/Multilayer-Ceramic-Capacitors-MLCC-SMD-SMT_YAGEO-CC0603KRX7R8BB333_C113810.html" TargetMode="External"/><Relationship Id="rId35" Type="http://schemas.openxmlformats.org/officeDocument/2006/relationships/hyperlink" Target="https://lcsc.com/product-detail/Multilayer-Ceramic-Capacitors-MLCC-SMD-SMT_YAGEO-CC0603BRNPO9BN4R7_C327022.html" TargetMode="External"/><Relationship Id="rId43" Type="http://schemas.openxmlformats.org/officeDocument/2006/relationships/hyperlink" Target="https://lcsc.com/product-detail/Inductors-SMD_Murata-Electronics-LQG15HS1N2S02D_C77105.html" TargetMode="External"/><Relationship Id="rId8" Type="http://schemas.openxmlformats.org/officeDocument/2006/relationships/hyperlink" Target="https://lcsc.com/product-detail/Multilayer-Ceramic-Capacitors-MLCC-SMD-SMT_YAGEO-CC0603KRX7R8BB684_C2838708.html" TargetMode="External"/><Relationship Id="rId3" Type="http://schemas.openxmlformats.org/officeDocument/2006/relationships/hyperlink" Target="https://lcsc.com/product-detail/Multilayer-Ceramic-Capacitors-MLCC-SMD-SMT_YAGEO-CC0603KRX5R8BB105_C14664.html" TargetMode="External"/><Relationship Id="rId12" Type="http://schemas.openxmlformats.org/officeDocument/2006/relationships/hyperlink" Target="https://lcsc.com/product-detail/Chip-Resistor-Surface-Mount_FH-Guangdong-Fenghua-Advanced-Tech-RS-03K104JT_C73806.html" TargetMode="External"/><Relationship Id="rId17" Type="http://schemas.openxmlformats.org/officeDocument/2006/relationships/hyperlink" Target="https://lcsc.com/product-detail/Wire-To-Board-Wire-To-Wire-Connector_DEALON-XHB-2A_C2904969.html" TargetMode="External"/><Relationship Id="rId25" Type="http://schemas.openxmlformats.org/officeDocument/2006/relationships/hyperlink" Target="https://lcsc.com/product-detail/Crystals_Yangxing-Tech-X322540MPB4SI_C9010.html" TargetMode="External"/><Relationship Id="rId33" Type="http://schemas.openxmlformats.org/officeDocument/2006/relationships/hyperlink" Target="https://www.aliexpress.com/item/1005002932629686.html?spm=a2g0o.search0302.0.0.6e2c135bWnqAvX&amp;algo_pvid=ac2a9ed8-229c-451f-8f67-530f3bdf03e3&amp;algo_exp_id=ac2a9ed8-229c-451f-8f67-530f3bdf03e3-33" TargetMode="External"/><Relationship Id="rId38" Type="http://schemas.openxmlformats.org/officeDocument/2006/relationships/hyperlink" Target="https://www.alibaba.com/product-detail/ESP-PSRAM64H-3-3V-SOP8-64Mbit_1600113435007.html" TargetMode="External"/><Relationship Id="rId20" Type="http://schemas.openxmlformats.org/officeDocument/2006/relationships/hyperlink" Target="https://lcsc.com/product-detail/Multilayer-Ceramic-Capacitors-MLCC-SMD-SMT_CCTC-TCC0402COG220J500AT_C696857.html" TargetMode="External"/><Relationship Id="rId41" Type="http://schemas.openxmlformats.org/officeDocument/2006/relationships/hyperlink" Target="https://www.alibaba.com/product-detail/new-original-PRO-OB-440-in_160024167027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topLeftCell="D16" zoomScale="85" zoomScaleNormal="85" workbookViewId="0">
      <selection activeCell="K27" sqref="K27"/>
    </sheetView>
  </sheetViews>
  <sheetFormatPr defaultColWidth="9" defaultRowHeight="14.4"/>
  <cols>
    <col min="1" max="1" width="6.109375" style="2" customWidth="1"/>
    <col min="2" max="2" width="14.44140625" style="1" customWidth="1"/>
    <col min="3" max="3" width="47.5546875" style="17" customWidth="1"/>
    <col min="4" max="4" width="32.33203125" style="22" bestFit="1" customWidth="1"/>
    <col min="5" max="5" width="20.5546875" style="2" bestFit="1" customWidth="1"/>
    <col min="6" max="6" width="28.44140625" style="2" bestFit="1" customWidth="1"/>
    <col min="7" max="7" width="14.6640625" style="1" bestFit="1" customWidth="1"/>
    <col min="8" max="8" width="14.33203125" style="2" bestFit="1" customWidth="1"/>
    <col min="9" max="9" width="20" style="1" bestFit="1" customWidth="1"/>
    <col min="10" max="10" width="6.44140625" style="2" bestFit="1" customWidth="1"/>
    <col min="11" max="11" width="14.88671875" style="1" bestFit="1" customWidth="1"/>
    <col min="12" max="12" width="16" style="1" bestFit="1" customWidth="1"/>
    <col min="13" max="13" width="21.88671875" style="1" customWidth="1"/>
    <col min="14" max="14" width="11.44140625" style="1" bestFit="1" customWidth="1"/>
    <col min="15" max="15" width="12.5546875" style="1" bestFit="1" customWidth="1"/>
    <col min="16" max="16" width="14" style="1" bestFit="1" customWidth="1"/>
    <col min="17" max="17" width="12.44140625" style="1" bestFit="1" customWidth="1"/>
    <col min="18" max="18" width="13.5546875" style="1" bestFit="1" customWidth="1"/>
    <col min="19" max="19" width="13.5546875" style="1" customWidth="1"/>
    <col min="20" max="20" width="14.6640625" style="1" bestFit="1" customWidth="1"/>
    <col min="21" max="21" width="32" style="1" bestFit="1" customWidth="1"/>
    <col min="22" max="22" width="40" style="1" bestFit="1" customWidth="1"/>
    <col min="23" max="23" width="49.6640625" style="1" bestFit="1" customWidth="1"/>
    <col min="24" max="16384" width="9" style="1"/>
  </cols>
  <sheetData>
    <row r="1" spans="1:23" ht="16.2" thickBot="1">
      <c r="A1" s="244" t="s">
        <v>150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6"/>
    </row>
    <row r="2" spans="1:23" ht="16.2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47</v>
      </c>
      <c r="L2" s="123" t="s">
        <v>246</v>
      </c>
      <c r="M2" s="5" t="s">
        <v>10</v>
      </c>
      <c r="N2" s="5" t="s">
        <v>44</v>
      </c>
      <c r="O2" s="5" t="s">
        <v>243</v>
      </c>
      <c r="P2" s="5" t="s">
        <v>11</v>
      </c>
      <c r="Q2" s="4" t="s">
        <v>45</v>
      </c>
      <c r="R2" s="5" t="s">
        <v>46</v>
      </c>
      <c r="S2" s="4" t="s">
        <v>244</v>
      </c>
      <c r="T2" s="123" t="s">
        <v>245</v>
      </c>
      <c r="U2" s="5" t="s">
        <v>12</v>
      </c>
      <c r="V2" s="123" t="s">
        <v>294</v>
      </c>
      <c r="W2" s="5" t="s">
        <v>13</v>
      </c>
    </row>
    <row r="3" spans="1:23" ht="15" thickBot="1">
      <c r="A3" s="6">
        <v>1</v>
      </c>
      <c r="B3" s="251" t="s">
        <v>14</v>
      </c>
      <c r="C3" s="60" t="s">
        <v>48</v>
      </c>
      <c r="D3" s="117" t="s">
        <v>159</v>
      </c>
      <c r="E3" s="61" t="s">
        <v>49</v>
      </c>
      <c r="F3" s="61" t="s">
        <v>50</v>
      </c>
      <c r="G3" s="32" t="s">
        <v>111</v>
      </c>
      <c r="H3" s="33" t="s">
        <v>112</v>
      </c>
      <c r="I3" s="34" t="s">
        <v>39</v>
      </c>
      <c r="J3" s="35" t="s">
        <v>20</v>
      </c>
      <c r="K3" s="35">
        <v>40</v>
      </c>
      <c r="L3" s="35">
        <v>100</v>
      </c>
      <c r="M3" s="36">
        <v>4</v>
      </c>
      <c r="N3" s="36">
        <f>M3*5</f>
        <v>20</v>
      </c>
      <c r="O3" s="36">
        <f>M3*20</f>
        <v>80</v>
      </c>
      <c r="P3" s="62" t="s">
        <v>16</v>
      </c>
      <c r="Q3" s="37">
        <v>1.3599999999999999E-2</v>
      </c>
      <c r="R3" s="38">
        <f>Q3*K3</f>
        <v>0.54399999999999993</v>
      </c>
      <c r="S3" s="38">
        <v>1.3599999999999999E-2</v>
      </c>
      <c r="T3" s="38">
        <f>S3*L3</f>
        <v>1.3599999999999999</v>
      </c>
      <c r="U3" s="11"/>
      <c r="V3" s="11"/>
      <c r="W3" s="12"/>
    </row>
    <row r="4" spans="1:23" ht="15" thickBot="1">
      <c r="A4" s="6">
        <v>2</v>
      </c>
      <c r="B4" s="252"/>
      <c r="C4" s="63" t="s">
        <v>21</v>
      </c>
      <c r="D4" s="85" t="s">
        <v>51</v>
      </c>
      <c r="E4" s="64" t="s">
        <v>49</v>
      </c>
      <c r="F4" s="64" t="s">
        <v>52</v>
      </c>
      <c r="G4" s="45" t="s">
        <v>111</v>
      </c>
      <c r="H4" s="39" t="s">
        <v>113</v>
      </c>
      <c r="I4" s="40" t="s">
        <v>39</v>
      </c>
      <c r="J4" s="41" t="s">
        <v>68</v>
      </c>
      <c r="K4" s="41">
        <v>20</v>
      </c>
      <c r="L4" s="41">
        <v>40</v>
      </c>
      <c r="M4" s="65">
        <v>1</v>
      </c>
      <c r="N4" s="65">
        <f t="shared" ref="N4:N48" si="0">M4*5</f>
        <v>5</v>
      </c>
      <c r="O4" s="65">
        <f t="shared" ref="O4:O50" si="1">M4*20</f>
        <v>20</v>
      </c>
      <c r="P4" s="66" t="s">
        <v>16</v>
      </c>
      <c r="Q4" s="43">
        <v>2.0299999999999999E-2</v>
      </c>
      <c r="R4" s="91">
        <f t="shared" ref="R4:R47" si="2">Q4*K4</f>
        <v>0.40599999999999997</v>
      </c>
      <c r="S4" s="91">
        <v>2.0299999999999999E-2</v>
      </c>
      <c r="T4" s="91">
        <f t="shared" ref="T4:T47" si="3">S4*L4</f>
        <v>0.81199999999999994</v>
      </c>
      <c r="U4" s="13"/>
      <c r="V4" s="13"/>
      <c r="W4" s="14"/>
    </row>
    <row r="5" spans="1:23" ht="42" thickBot="1">
      <c r="A5" s="6">
        <v>3</v>
      </c>
      <c r="B5" s="252"/>
      <c r="C5" s="63" t="s">
        <v>53</v>
      </c>
      <c r="D5" s="116" t="s">
        <v>154</v>
      </c>
      <c r="E5" s="41" t="s">
        <v>49</v>
      </c>
      <c r="F5" s="41" t="s">
        <v>54</v>
      </c>
      <c r="G5" s="45" t="s">
        <v>114</v>
      </c>
      <c r="H5" s="39" t="s">
        <v>115</v>
      </c>
      <c r="I5" s="40" t="s">
        <v>39</v>
      </c>
      <c r="J5" s="41" t="s">
        <v>15</v>
      </c>
      <c r="K5" s="41">
        <v>100</v>
      </c>
      <c r="L5" s="41">
        <v>400</v>
      </c>
      <c r="M5" s="65">
        <v>19</v>
      </c>
      <c r="N5" s="65">
        <f t="shared" si="0"/>
        <v>95</v>
      </c>
      <c r="O5" s="65">
        <f t="shared" si="1"/>
        <v>380</v>
      </c>
      <c r="P5" s="66" t="s">
        <v>16</v>
      </c>
      <c r="Q5" s="43">
        <v>7.1000000000000004E-3</v>
      </c>
      <c r="R5" s="91">
        <f t="shared" si="2"/>
        <v>0.71000000000000008</v>
      </c>
      <c r="S5" s="91">
        <v>7.1000000000000004E-3</v>
      </c>
      <c r="T5" s="91">
        <f t="shared" si="3"/>
        <v>2.8400000000000003</v>
      </c>
      <c r="U5" s="13"/>
      <c r="V5" s="13"/>
      <c r="W5" s="14"/>
    </row>
    <row r="6" spans="1:23" ht="15" thickBot="1">
      <c r="A6" s="6">
        <v>4</v>
      </c>
      <c r="B6" s="252"/>
      <c r="C6" s="63" t="s">
        <v>55</v>
      </c>
      <c r="D6" s="85" t="s">
        <v>56</v>
      </c>
      <c r="E6" s="64" t="s">
        <v>57</v>
      </c>
      <c r="F6" s="64" t="s">
        <v>58</v>
      </c>
      <c r="G6" s="45" t="s">
        <v>114</v>
      </c>
      <c r="H6" s="39" t="s">
        <v>116</v>
      </c>
      <c r="I6" s="40" t="s">
        <v>39</v>
      </c>
      <c r="J6" s="41" t="s">
        <v>69</v>
      </c>
      <c r="K6" s="41">
        <v>100</v>
      </c>
      <c r="L6" s="41">
        <v>200</v>
      </c>
      <c r="M6" s="65">
        <v>8</v>
      </c>
      <c r="N6" s="65">
        <f t="shared" si="0"/>
        <v>40</v>
      </c>
      <c r="O6" s="65">
        <f t="shared" si="1"/>
        <v>160</v>
      </c>
      <c r="P6" s="67" t="s">
        <v>16</v>
      </c>
      <c r="Q6" s="43">
        <v>3.3999999999999998E-3</v>
      </c>
      <c r="R6" s="91">
        <f t="shared" si="2"/>
        <v>0.33999999999999997</v>
      </c>
      <c r="S6" s="91">
        <v>3.3999999999999998E-3</v>
      </c>
      <c r="T6" s="91">
        <f t="shared" si="3"/>
        <v>0.67999999999999994</v>
      </c>
      <c r="U6" s="13"/>
      <c r="V6" s="13"/>
      <c r="W6" s="14"/>
    </row>
    <row r="7" spans="1:23" ht="15" thickBot="1">
      <c r="A7" s="6">
        <v>5</v>
      </c>
      <c r="B7" s="252"/>
      <c r="C7" s="63" t="s">
        <v>155</v>
      </c>
      <c r="D7" s="85" t="s">
        <v>156</v>
      </c>
      <c r="E7" s="64" t="s">
        <v>157</v>
      </c>
      <c r="F7" s="89" t="s">
        <v>158</v>
      </c>
      <c r="G7" s="45" t="s">
        <v>191</v>
      </c>
      <c r="H7" s="39" t="s">
        <v>192</v>
      </c>
      <c r="I7" s="40" t="s">
        <v>200</v>
      </c>
      <c r="J7" s="41" t="s">
        <v>193</v>
      </c>
      <c r="K7" s="41">
        <v>100</v>
      </c>
      <c r="L7" s="41">
        <v>100</v>
      </c>
      <c r="M7" s="65">
        <v>1</v>
      </c>
      <c r="N7" s="65">
        <f t="shared" si="0"/>
        <v>5</v>
      </c>
      <c r="O7" s="65">
        <f t="shared" si="1"/>
        <v>20</v>
      </c>
      <c r="P7" s="88" t="s">
        <v>16</v>
      </c>
      <c r="Q7" s="43">
        <v>1.4E-3</v>
      </c>
      <c r="R7" s="91">
        <f t="shared" si="2"/>
        <v>0.13999999999999999</v>
      </c>
      <c r="S7" s="91">
        <v>1.4E-3</v>
      </c>
      <c r="T7" s="91">
        <f t="shared" si="3"/>
        <v>0.13999999999999999</v>
      </c>
      <c r="U7" s="13"/>
      <c r="V7" s="13"/>
      <c r="W7" s="14"/>
    </row>
    <row r="8" spans="1:23" ht="55.8" thickBot="1">
      <c r="A8" s="6">
        <v>6</v>
      </c>
      <c r="B8" s="252"/>
      <c r="C8" s="63" t="s">
        <v>17</v>
      </c>
      <c r="D8" s="116" t="s">
        <v>213</v>
      </c>
      <c r="E8" s="41" t="s">
        <v>49</v>
      </c>
      <c r="F8" s="41" t="s">
        <v>18</v>
      </c>
      <c r="G8" s="45" t="s">
        <v>114</v>
      </c>
      <c r="H8" s="39" t="s">
        <v>117</v>
      </c>
      <c r="I8" s="40" t="s">
        <v>39</v>
      </c>
      <c r="J8" s="41" t="s">
        <v>19</v>
      </c>
      <c r="K8" s="41">
        <v>150</v>
      </c>
      <c r="L8" s="41">
        <v>600</v>
      </c>
      <c r="M8" s="65">
        <v>29</v>
      </c>
      <c r="N8" s="65">
        <f t="shared" si="0"/>
        <v>145</v>
      </c>
      <c r="O8" s="65">
        <f t="shared" si="1"/>
        <v>580</v>
      </c>
      <c r="P8" s="67" t="s">
        <v>16</v>
      </c>
      <c r="Q8" s="43">
        <v>7.4000000000000003E-3</v>
      </c>
      <c r="R8" s="91">
        <f t="shared" si="2"/>
        <v>1.1100000000000001</v>
      </c>
      <c r="S8" s="91">
        <v>6.0000000000000001E-3</v>
      </c>
      <c r="T8" s="91">
        <f t="shared" si="3"/>
        <v>3.6</v>
      </c>
      <c r="U8" s="23"/>
      <c r="V8" s="23"/>
      <c r="W8" s="14"/>
    </row>
    <row r="9" spans="1:23" ht="15" thickBot="1">
      <c r="A9" s="6">
        <v>7</v>
      </c>
      <c r="B9" s="252"/>
      <c r="C9" s="63" t="s">
        <v>59</v>
      </c>
      <c r="D9" s="85" t="s">
        <v>60</v>
      </c>
      <c r="E9" s="64" t="s">
        <v>49</v>
      </c>
      <c r="F9" s="64" t="s">
        <v>61</v>
      </c>
      <c r="G9" s="45" t="s">
        <v>118</v>
      </c>
      <c r="H9" s="46" t="s">
        <v>119</v>
      </c>
      <c r="I9" s="40" t="s">
        <v>39</v>
      </c>
      <c r="J9" s="41" t="s">
        <v>70</v>
      </c>
      <c r="K9" s="45">
        <v>10</v>
      </c>
      <c r="L9" s="45">
        <v>30</v>
      </c>
      <c r="M9" s="65">
        <v>1</v>
      </c>
      <c r="N9" s="65">
        <f t="shared" si="0"/>
        <v>5</v>
      </c>
      <c r="O9" s="65">
        <f t="shared" si="1"/>
        <v>20</v>
      </c>
      <c r="P9" s="67" t="s">
        <v>16</v>
      </c>
      <c r="Q9" s="43">
        <v>3.6999999999999998E-2</v>
      </c>
      <c r="R9" s="91">
        <f t="shared" si="2"/>
        <v>0.37</v>
      </c>
      <c r="S9" s="91">
        <v>3.6999999999999998E-2</v>
      </c>
      <c r="T9" s="91">
        <f t="shared" si="3"/>
        <v>1.1099999999999999</v>
      </c>
      <c r="U9" s="13"/>
      <c r="V9" s="13"/>
      <c r="W9" s="14"/>
    </row>
    <row r="10" spans="1:23" ht="15" thickBot="1">
      <c r="A10" s="6">
        <v>8</v>
      </c>
      <c r="B10" s="252"/>
      <c r="C10" s="63" t="s">
        <v>62</v>
      </c>
      <c r="D10" s="85" t="s">
        <v>63</v>
      </c>
      <c r="E10" s="64" t="s">
        <v>49</v>
      </c>
      <c r="F10" s="64" t="s">
        <v>64</v>
      </c>
      <c r="G10" s="45" t="s">
        <v>114</v>
      </c>
      <c r="H10" s="39" t="s">
        <v>120</v>
      </c>
      <c r="I10" s="40" t="s">
        <v>39</v>
      </c>
      <c r="J10" s="41" t="s">
        <v>71</v>
      </c>
      <c r="K10" s="45">
        <v>100</v>
      </c>
      <c r="L10" s="45">
        <v>200</v>
      </c>
      <c r="M10" s="65">
        <v>6</v>
      </c>
      <c r="N10" s="65">
        <f t="shared" si="0"/>
        <v>30</v>
      </c>
      <c r="O10" s="65">
        <f t="shared" si="1"/>
        <v>120</v>
      </c>
      <c r="P10" s="66" t="s">
        <v>16</v>
      </c>
      <c r="Q10" s="43">
        <v>3.5000000000000001E-3</v>
      </c>
      <c r="R10" s="91">
        <f t="shared" si="2"/>
        <v>0.35000000000000003</v>
      </c>
      <c r="S10" s="91">
        <v>3.5000000000000001E-3</v>
      </c>
      <c r="T10" s="91">
        <f t="shared" si="3"/>
        <v>0.70000000000000007</v>
      </c>
      <c r="U10" s="13"/>
      <c r="V10" s="13"/>
      <c r="W10" s="14"/>
    </row>
    <row r="11" spans="1:23" ht="28.2" thickBot="1">
      <c r="A11" s="6">
        <v>9</v>
      </c>
      <c r="B11" s="252"/>
      <c r="C11" s="63" t="s">
        <v>65</v>
      </c>
      <c r="D11" s="116" t="s">
        <v>66</v>
      </c>
      <c r="E11" s="41" t="s">
        <v>49</v>
      </c>
      <c r="F11" s="41" t="s">
        <v>67</v>
      </c>
      <c r="G11" s="45" t="s">
        <v>114</v>
      </c>
      <c r="H11" s="39" t="s">
        <v>121</v>
      </c>
      <c r="I11" s="40" t="s">
        <v>39</v>
      </c>
      <c r="J11" s="41" t="s">
        <v>72</v>
      </c>
      <c r="K11" s="45">
        <v>100</v>
      </c>
      <c r="L11" s="45">
        <v>350</v>
      </c>
      <c r="M11" s="65">
        <v>16</v>
      </c>
      <c r="N11" s="65">
        <f t="shared" si="0"/>
        <v>80</v>
      </c>
      <c r="O11" s="65">
        <f t="shared" si="1"/>
        <v>320</v>
      </c>
      <c r="P11" s="66" t="s">
        <v>16</v>
      </c>
      <c r="Q11" s="43">
        <v>1.5599999999999999E-2</v>
      </c>
      <c r="R11" s="91">
        <f t="shared" si="2"/>
        <v>1.5599999999999998</v>
      </c>
      <c r="S11" s="91">
        <v>1.5599999999999999E-2</v>
      </c>
      <c r="T11" s="91">
        <f t="shared" si="3"/>
        <v>5.46</v>
      </c>
      <c r="U11" s="13"/>
      <c r="V11" s="13"/>
      <c r="W11" s="14"/>
    </row>
    <row r="12" spans="1:23" ht="15" thickBot="1">
      <c r="A12" s="6">
        <v>10</v>
      </c>
      <c r="B12" s="252"/>
      <c r="C12" s="63" t="s">
        <v>160</v>
      </c>
      <c r="D12" s="85" t="s">
        <v>161</v>
      </c>
      <c r="E12" s="64" t="s">
        <v>49</v>
      </c>
      <c r="F12" s="64" t="s">
        <v>162</v>
      </c>
      <c r="G12" s="45" t="s">
        <v>114</v>
      </c>
      <c r="H12" s="39" t="s">
        <v>194</v>
      </c>
      <c r="I12" s="40" t="s">
        <v>39</v>
      </c>
      <c r="J12" s="41" t="s">
        <v>195</v>
      </c>
      <c r="K12" s="45">
        <v>50</v>
      </c>
      <c r="L12" s="45">
        <v>50</v>
      </c>
      <c r="M12" s="65">
        <v>1</v>
      </c>
      <c r="N12" s="65">
        <f t="shared" si="0"/>
        <v>5</v>
      </c>
      <c r="O12" s="65">
        <f t="shared" si="1"/>
        <v>20</v>
      </c>
      <c r="P12" s="92" t="s">
        <v>16</v>
      </c>
      <c r="Q12" s="43">
        <v>4.8999999999999998E-3</v>
      </c>
      <c r="R12" s="91">
        <f t="shared" si="2"/>
        <v>0.245</v>
      </c>
      <c r="S12" s="91">
        <v>4.8999999999999998E-3</v>
      </c>
      <c r="T12" s="91">
        <f t="shared" si="3"/>
        <v>0.245</v>
      </c>
      <c r="U12" s="13"/>
      <c r="V12" s="13"/>
      <c r="W12" s="14"/>
    </row>
    <row r="13" spans="1:23" ht="15" thickBot="1">
      <c r="A13" s="6">
        <v>11</v>
      </c>
      <c r="B13" s="252"/>
      <c r="C13" s="63" t="s">
        <v>163</v>
      </c>
      <c r="D13" s="116" t="s">
        <v>164</v>
      </c>
      <c r="E13" s="41" t="s">
        <v>157</v>
      </c>
      <c r="F13" s="77" t="s">
        <v>165</v>
      </c>
      <c r="G13" s="45" t="s">
        <v>191</v>
      </c>
      <c r="H13" s="39" t="s">
        <v>196</v>
      </c>
      <c r="I13" s="40" t="s">
        <v>201</v>
      </c>
      <c r="J13" s="41" t="s">
        <v>197</v>
      </c>
      <c r="K13" s="45">
        <v>100</v>
      </c>
      <c r="L13" s="45">
        <v>100</v>
      </c>
      <c r="M13" s="65">
        <v>1</v>
      </c>
      <c r="N13" s="65">
        <f t="shared" si="0"/>
        <v>5</v>
      </c>
      <c r="O13" s="65">
        <f t="shared" si="1"/>
        <v>20</v>
      </c>
      <c r="P13" s="92" t="s">
        <v>16</v>
      </c>
      <c r="Q13" s="43">
        <v>1.2999999999999999E-3</v>
      </c>
      <c r="R13" s="91">
        <f t="shared" si="2"/>
        <v>0.13</v>
      </c>
      <c r="S13" s="91">
        <v>1.2999999999999999E-3</v>
      </c>
      <c r="T13" s="91">
        <f t="shared" si="3"/>
        <v>0.13</v>
      </c>
      <c r="U13" s="13"/>
      <c r="V13" s="13"/>
      <c r="W13" s="14"/>
    </row>
    <row r="14" spans="1:23" ht="15" thickBot="1">
      <c r="A14" s="6">
        <v>12</v>
      </c>
      <c r="B14" s="252"/>
      <c r="C14" s="63" t="s">
        <v>214</v>
      </c>
      <c r="D14" s="85" t="s">
        <v>215</v>
      </c>
      <c r="E14" s="64" t="s">
        <v>24</v>
      </c>
      <c r="F14" s="64" t="s">
        <v>216</v>
      </c>
      <c r="G14" s="45" t="s">
        <v>114</v>
      </c>
      <c r="H14" s="39" t="s">
        <v>223</v>
      </c>
      <c r="I14" s="40" t="s">
        <v>39</v>
      </c>
      <c r="J14" s="41" t="s">
        <v>224</v>
      </c>
      <c r="K14" s="45">
        <v>100</v>
      </c>
      <c r="L14" s="45">
        <v>100</v>
      </c>
      <c r="M14" s="65">
        <v>1</v>
      </c>
      <c r="N14" s="65">
        <f t="shared" si="0"/>
        <v>5</v>
      </c>
      <c r="O14" s="65">
        <f t="shared" si="1"/>
        <v>20</v>
      </c>
      <c r="P14" s="92" t="s">
        <v>16</v>
      </c>
      <c r="Q14" s="43">
        <v>3.8999999999999998E-3</v>
      </c>
      <c r="R14" s="91">
        <f t="shared" si="2"/>
        <v>0.38999999999999996</v>
      </c>
      <c r="S14" s="91">
        <v>3.8999999999999998E-3</v>
      </c>
      <c r="T14" s="91">
        <f t="shared" si="3"/>
        <v>0.38999999999999996</v>
      </c>
      <c r="U14" s="13"/>
      <c r="V14" s="13"/>
      <c r="W14" s="14"/>
    </row>
    <row r="15" spans="1:23" ht="15" thickBot="1">
      <c r="A15" s="6">
        <v>13</v>
      </c>
      <c r="B15" s="252"/>
      <c r="C15" s="63" t="s">
        <v>217</v>
      </c>
      <c r="D15" s="85" t="s">
        <v>218</v>
      </c>
      <c r="E15" s="64" t="s">
        <v>24</v>
      </c>
      <c r="F15" s="64" t="s">
        <v>219</v>
      </c>
      <c r="G15" s="45" t="s">
        <v>114</v>
      </c>
      <c r="H15" s="39" t="s">
        <v>225</v>
      </c>
      <c r="I15" s="40" t="s">
        <v>39</v>
      </c>
      <c r="J15" s="41" t="s">
        <v>226</v>
      </c>
      <c r="K15" s="45">
        <v>50</v>
      </c>
      <c r="L15" s="45">
        <v>50</v>
      </c>
      <c r="M15" s="65">
        <v>2</v>
      </c>
      <c r="N15" s="65">
        <f t="shared" si="0"/>
        <v>10</v>
      </c>
      <c r="O15" s="65">
        <f t="shared" si="1"/>
        <v>40</v>
      </c>
      <c r="P15" s="92" t="s">
        <v>16</v>
      </c>
      <c r="Q15" s="43">
        <v>5.4000000000000003E-3</v>
      </c>
      <c r="R15" s="91">
        <f t="shared" si="2"/>
        <v>0.27</v>
      </c>
      <c r="S15" s="91">
        <v>5.4000000000000003E-3</v>
      </c>
      <c r="T15" s="91">
        <f t="shared" si="3"/>
        <v>0.27</v>
      </c>
      <c r="U15" s="13"/>
      <c r="V15" s="13"/>
      <c r="W15" s="14"/>
    </row>
    <row r="16" spans="1:23" ht="15" thickBot="1">
      <c r="A16" s="6">
        <v>14</v>
      </c>
      <c r="B16" s="252"/>
      <c r="C16" s="63" t="s">
        <v>251</v>
      </c>
      <c r="D16" s="135" t="s">
        <v>252</v>
      </c>
      <c r="E16" s="64" t="s">
        <v>49</v>
      </c>
      <c r="F16" s="64" t="s">
        <v>253</v>
      </c>
      <c r="G16" s="45" t="s">
        <v>114</v>
      </c>
      <c r="H16" s="39" t="s">
        <v>257</v>
      </c>
      <c r="I16" s="40" t="s">
        <v>40</v>
      </c>
      <c r="J16" s="41" t="s">
        <v>258</v>
      </c>
      <c r="K16" s="45">
        <v>50</v>
      </c>
      <c r="L16" s="45">
        <v>50</v>
      </c>
      <c r="M16" s="65">
        <v>1</v>
      </c>
      <c r="N16" s="65">
        <f t="shared" si="0"/>
        <v>5</v>
      </c>
      <c r="O16" s="65">
        <f t="shared" si="1"/>
        <v>20</v>
      </c>
      <c r="P16" s="92" t="s">
        <v>16</v>
      </c>
      <c r="Q16" s="43">
        <v>6.4000000000000003E-3</v>
      </c>
      <c r="R16" s="91">
        <f t="shared" si="2"/>
        <v>0.32</v>
      </c>
      <c r="S16" s="91">
        <v>6.4000000000000003E-3</v>
      </c>
      <c r="T16" s="91">
        <f>S16*L16</f>
        <v>0.32</v>
      </c>
      <c r="U16" s="13"/>
      <c r="V16" s="13"/>
      <c r="W16" s="14"/>
    </row>
    <row r="17" spans="1:23" ht="15" thickBot="1">
      <c r="A17" s="6">
        <v>15</v>
      </c>
      <c r="B17" s="253"/>
      <c r="C17" s="97" t="s">
        <v>254</v>
      </c>
      <c r="D17" s="136" t="s">
        <v>255</v>
      </c>
      <c r="E17" s="114" t="s">
        <v>49</v>
      </c>
      <c r="F17" s="114" t="s">
        <v>256</v>
      </c>
      <c r="G17" s="51" t="s">
        <v>114</v>
      </c>
      <c r="H17" s="52" t="s">
        <v>259</v>
      </c>
      <c r="I17" s="53" t="s">
        <v>39</v>
      </c>
      <c r="J17" s="72" t="s">
        <v>260</v>
      </c>
      <c r="K17" s="51">
        <v>50</v>
      </c>
      <c r="L17" s="51">
        <v>50</v>
      </c>
      <c r="M17" s="54">
        <v>1</v>
      </c>
      <c r="N17" s="54">
        <f t="shared" si="0"/>
        <v>5</v>
      </c>
      <c r="O17" s="54">
        <f t="shared" si="1"/>
        <v>20</v>
      </c>
      <c r="P17" s="95" t="s">
        <v>16</v>
      </c>
      <c r="Q17" s="55">
        <v>7.9000000000000008E-3</v>
      </c>
      <c r="R17" s="96">
        <f t="shared" si="2"/>
        <v>0.39500000000000002</v>
      </c>
      <c r="S17" s="96">
        <v>7.9000000000000008E-3</v>
      </c>
      <c r="T17" s="96">
        <f>S17*L17</f>
        <v>0.39500000000000002</v>
      </c>
      <c r="U17" s="15"/>
      <c r="V17" s="15"/>
      <c r="W17" s="16"/>
    </row>
    <row r="18" spans="1:23" ht="28.2" thickBot="1">
      <c r="A18" s="6">
        <v>16</v>
      </c>
      <c r="B18" s="254" t="s">
        <v>185</v>
      </c>
      <c r="C18" s="218" t="s">
        <v>182</v>
      </c>
      <c r="D18" s="172" t="s">
        <v>183</v>
      </c>
      <c r="E18" s="173" t="s">
        <v>296</v>
      </c>
      <c r="F18" s="174" t="s">
        <v>184</v>
      </c>
      <c r="G18" s="175" t="s">
        <v>199</v>
      </c>
      <c r="H18" s="176" t="s">
        <v>198</v>
      </c>
      <c r="I18" s="177" t="s">
        <v>39</v>
      </c>
      <c r="J18" s="174" t="s">
        <v>22</v>
      </c>
      <c r="K18" s="175">
        <v>10</v>
      </c>
      <c r="L18" s="175">
        <v>30</v>
      </c>
      <c r="M18" s="42">
        <v>1</v>
      </c>
      <c r="N18" s="42">
        <f t="shared" si="0"/>
        <v>5</v>
      </c>
      <c r="O18" s="42">
        <f t="shared" si="1"/>
        <v>20</v>
      </c>
      <c r="P18" s="178" t="s">
        <v>16</v>
      </c>
      <c r="Q18" s="179">
        <v>6.9699999999999998E-2</v>
      </c>
      <c r="R18" s="44">
        <f t="shared" si="2"/>
        <v>0.69699999999999995</v>
      </c>
      <c r="S18" s="44">
        <v>6.9699999999999998E-2</v>
      </c>
      <c r="T18" s="44">
        <f t="shared" si="3"/>
        <v>2.0909999999999997</v>
      </c>
      <c r="U18" s="180"/>
      <c r="V18" s="180"/>
      <c r="W18" s="232"/>
    </row>
    <row r="19" spans="1:23" ht="16.2" thickBot="1">
      <c r="A19" s="6">
        <v>17</v>
      </c>
      <c r="B19" s="255"/>
      <c r="C19" s="262" t="s">
        <v>220</v>
      </c>
      <c r="D19" s="263" t="s">
        <v>221</v>
      </c>
      <c r="E19" s="263" t="s">
        <v>28</v>
      </c>
      <c r="F19" s="263" t="s">
        <v>222</v>
      </c>
      <c r="G19" s="49" t="s">
        <v>298</v>
      </c>
      <c r="H19" s="48" t="s">
        <v>297</v>
      </c>
      <c r="I19" s="49" t="s">
        <v>39</v>
      </c>
      <c r="J19" s="263" t="s">
        <v>22</v>
      </c>
      <c r="K19" s="49">
        <v>10</v>
      </c>
      <c r="L19" s="49">
        <v>50</v>
      </c>
      <c r="M19" s="264">
        <v>2</v>
      </c>
      <c r="N19" s="264">
        <f t="shared" si="0"/>
        <v>10</v>
      </c>
      <c r="O19" s="264">
        <f t="shared" si="1"/>
        <v>40</v>
      </c>
      <c r="P19" s="265" t="s">
        <v>16</v>
      </c>
      <c r="Q19" s="266">
        <v>3.9399999999999998E-2</v>
      </c>
      <c r="R19" s="267">
        <f t="shared" si="2"/>
        <v>0.39399999999999996</v>
      </c>
      <c r="S19" s="267">
        <v>3.9399999999999998E-2</v>
      </c>
      <c r="T19" s="267">
        <f t="shared" si="3"/>
        <v>1.97</v>
      </c>
      <c r="U19" s="268"/>
      <c r="V19" s="269" t="s">
        <v>293</v>
      </c>
      <c r="W19" s="270" t="s">
        <v>299</v>
      </c>
    </row>
    <row r="20" spans="1:23" ht="15" thickBot="1">
      <c r="A20" s="6">
        <v>18</v>
      </c>
      <c r="B20" s="259" t="s">
        <v>190</v>
      </c>
      <c r="C20" s="60" t="s">
        <v>186</v>
      </c>
      <c r="D20" s="117" t="s">
        <v>187</v>
      </c>
      <c r="E20" s="61" t="s">
        <v>188</v>
      </c>
      <c r="F20" s="61" t="s">
        <v>189</v>
      </c>
      <c r="G20" s="32" t="s">
        <v>202</v>
      </c>
      <c r="H20" s="33" t="s">
        <v>203</v>
      </c>
      <c r="I20" s="34" t="s">
        <v>39</v>
      </c>
      <c r="J20" s="35" t="s">
        <v>22</v>
      </c>
      <c r="K20" s="32">
        <v>50</v>
      </c>
      <c r="L20" s="32">
        <v>50</v>
      </c>
      <c r="M20" s="36">
        <v>1</v>
      </c>
      <c r="N20" s="36">
        <f t="shared" si="0"/>
        <v>5</v>
      </c>
      <c r="O20" s="36">
        <f t="shared" si="1"/>
        <v>20</v>
      </c>
      <c r="P20" s="115" t="s">
        <v>16</v>
      </c>
      <c r="Q20" s="37">
        <v>2.12E-2</v>
      </c>
      <c r="R20" s="38">
        <f t="shared" si="2"/>
        <v>1.06</v>
      </c>
      <c r="S20" s="38">
        <v>2.12E-2</v>
      </c>
      <c r="T20" s="38">
        <f t="shared" si="3"/>
        <v>1.06</v>
      </c>
      <c r="U20" s="11"/>
      <c r="V20" s="11"/>
      <c r="W20" s="12"/>
    </row>
    <row r="21" spans="1:23" ht="15" thickBot="1">
      <c r="A21" s="6">
        <v>19</v>
      </c>
      <c r="B21" s="261"/>
      <c r="C21" s="63" t="s">
        <v>227</v>
      </c>
      <c r="D21" s="85" t="s">
        <v>228</v>
      </c>
      <c r="E21" s="64" t="s">
        <v>188</v>
      </c>
      <c r="F21" s="64" t="s">
        <v>229</v>
      </c>
      <c r="G21" s="45" t="s">
        <v>234</v>
      </c>
      <c r="H21" s="40" t="s">
        <v>144</v>
      </c>
      <c r="I21" s="40" t="s">
        <v>39</v>
      </c>
      <c r="J21" s="41" t="s">
        <v>206</v>
      </c>
      <c r="K21" s="45">
        <v>12</v>
      </c>
      <c r="L21" s="45">
        <v>45</v>
      </c>
      <c r="M21" s="65">
        <v>2</v>
      </c>
      <c r="N21" s="65">
        <f t="shared" si="0"/>
        <v>10</v>
      </c>
      <c r="O21" s="65">
        <f t="shared" si="1"/>
        <v>40</v>
      </c>
      <c r="P21" s="195" t="s">
        <v>153</v>
      </c>
      <c r="Q21" s="43">
        <v>0.11208</v>
      </c>
      <c r="R21" s="91">
        <f t="shared" si="2"/>
        <v>1.3449599999999999</v>
      </c>
      <c r="S21" s="91">
        <v>0.11208</v>
      </c>
      <c r="T21" s="91">
        <f t="shared" si="3"/>
        <v>5.0435999999999996</v>
      </c>
      <c r="U21" s="19"/>
      <c r="V21" s="13" t="s">
        <v>300</v>
      </c>
      <c r="W21" s="14"/>
    </row>
    <row r="22" spans="1:23" ht="15" thickBot="1">
      <c r="A22" s="6">
        <v>20</v>
      </c>
      <c r="B22" s="261"/>
      <c r="C22" s="63" t="s">
        <v>230</v>
      </c>
      <c r="D22" s="85" t="s">
        <v>231</v>
      </c>
      <c r="E22" s="64" t="s">
        <v>232</v>
      </c>
      <c r="F22" s="64" t="s">
        <v>233</v>
      </c>
      <c r="G22" s="45" t="s">
        <v>234</v>
      </c>
      <c r="H22" s="39" t="s">
        <v>235</v>
      </c>
      <c r="I22" s="40" t="s">
        <v>39</v>
      </c>
      <c r="J22" s="41" t="s">
        <v>206</v>
      </c>
      <c r="K22" s="45">
        <v>50</v>
      </c>
      <c r="L22" s="45">
        <v>50</v>
      </c>
      <c r="M22" s="65">
        <v>2</v>
      </c>
      <c r="N22" s="65">
        <f t="shared" si="0"/>
        <v>10</v>
      </c>
      <c r="O22" s="65">
        <f t="shared" si="1"/>
        <v>40</v>
      </c>
      <c r="P22" s="92" t="s">
        <v>16</v>
      </c>
      <c r="Q22" s="43">
        <v>7.9000000000000008E-3</v>
      </c>
      <c r="R22" s="91">
        <f t="shared" si="2"/>
        <v>0.39500000000000002</v>
      </c>
      <c r="S22" s="91">
        <v>7.9000000000000008E-3</v>
      </c>
      <c r="T22" s="91">
        <f t="shared" si="3"/>
        <v>0.39500000000000002</v>
      </c>
      <c r="U22" s="13"/>
      <c r="V22" s="13"/>
      <c r="W22" s="14"/>
    </row>
    <row r="23" spans="1:23" ht="15" thickBot="1">
      <c r="A23" s="6">
        <v>21</v>
      </c>
      <c r="B23" s="260"/>
      <c r="C23" s="97" t="s">
        <v>261</v>
      </c>
      <c r="D23" s="136" t="s">
        <v>262</v>
      </c>
      <c r="E23" s="114" t="s">
        <v>28</v>
      </c>
      <c r="F23" s="114" t="s">
        <v>263</v>
      </c>
      <c r="G23" s="51" t="s">
        <v>130</v>
      </c>
      <c r="H23" s="52" t="s">
        <v>264</v>
      </c>
      <c r="I23" s="53" t="s">
        <v>39</v>
      </c>
      <c r="J23" s="72" t="s">
        <v>206</v>
      </c>
      <c r="K23" s="51">
        <v>10</v>
      </c>
      <c r="L23" s="51">
        <v>30</v>
      </c>
      <c r="M23" s="54">
        <v>1</v>
      </c>
      <c r="N23" s="54">
        <f t="shared" si="0"/>
        <v>5</v>
      </c>
      <c r="O23" s="54">
        <f t="shared" si="1"/>
        <v>20</v>
      </c>
      <c r="P23" s="95" t="s">
        <v>16</v>
      </c>
      <c r="Q23" s="55">
        <v>4.5100000000000001E-2</v>
      </c>
      <c r="R23" s="96">
        <f t="shared" si="2"/>
        <v>0.45100000000000001</v>
      </c>
      <c r="S23" s="96">
        <v>4.5100000000000001E-2</v>
      </c>
      <c r="T23" s="96">
        <f t="shared" si="3"/>
        <v>1.353</v>
      </c>
      <c r="U23" s="15"/>
      <c r="V23" s="15"/>
      <c r="W23" s="16"/>
    </row>
    <row r="24" spans="1:23" ht="28.2" thickBot="1">
      <c r="A24" s="6">
        <v>22</v>
      </c>
      <c r="B24" s="161" t="s">
        <v>76</v>
      </c>
      <c r="C24" s="219" t="s">
        <v>73</v>
      </c>
      <c r="D24" s="191" t="s">
        <v>74</v>
      </c>
      <c r="E24" s="192" t="s">
        <v>28</v>
      </c>
      <c r="F24" s="192" t="s">
        <v>75</v>
      </c>
      <c r="G24" s="193" t="s">
        <v>146</v>
      </c>
      <c r="H24" s="193" t="s">
        <v>144</v>
      </c>
      <c r="I24" s="192" t="s">
        <v>145</v>
      </c>
      <c r="J24" s="192" t="s">
        <v>22</v>
      </c>
      <c r="K24" s="192">
        <v>42</v>
      </c>
      <c r="L24" s="192">
        <v>162</v>
      </c>
      <c r="M24" s="194">
        <v>8</v>
      </c>
      <c r="N24" s="194">
        <f t="shared" si="0"/>
        <v>40</v>
      </c>
      <c r="O24" s="194">
        <f t="shared" si="1"/>
        <v>160</v>
      </c>
      <c r="P24" s="195" t="s">
        <v>153</v>
      </c>
      <c r="Q24" s="196">
        <v>3.68</v>
      </c>
      <c r="R24" s="197">
        <f t="shared" si="2"/>
        <v>154.56</v>
      </c>
      <c r="S24" s="197">
        <v>3.68</v>
      </c>
      <c r="T24" s="197">
        <f t="shared" si="3"/>
        <v>596.16000000000008</v>
      </c>
      <c r="U24" s="198" t="s">
        <v>247</v>
      </c>
      <c r="V24" s="199" t="s">
        <v>293</v>
      </c>
      <c r="W24" s="233">
        <v>3.68</v>
      </c>
    </row>
    <row r="25" spans="1:23" ht="28.2" thickBot="1">
      <c r="A25" s="6">
        <v>23</v>
      </c>
      <c r="B25" s="222" t="s">
        <v>26</v>
      </c>
      <c r="C25" s="220" t="s">
        <v>77</v>
      </c>
      <c r="D25" s="207" t="s">
        <v>27</v>
      </c>
      <c r="E25" s="208" t="s">
        <v>28</v>
      </c>
      <c r="F25" s="208" t="s">
        <v>78</v>
      </c>
      <c r="G25" s="209" t="s">
        <v>122</v>
      </c>
      <c r="H25" s="210" t="s">
        <v>123</v>
      </c>
      <c r="I25" s="211" t="s">
        <v>39</v>
      </c>
      <c r="J25" s="208" t="s">
        <v>22</v>
      </c>
      <c r="K25" s="208">
        <v>10</v>
      </c>
      <c r="L25" s="208">
        <v>30</v>
      </c>
      <c r="M25" s="212">
        <v>1</v>
      </c>
      <c r="N25" s="212">
        <f t="shared" si="0"/>
        <v>5</v>
      </c>
      <c r="O25" s="212">
        <f t="shared" si="1"/>
        <v>20</v>
      </c>
      <c r="P25" s="213" t="s">
        <v>16</v>
      </c>
      <c r="Q25" s="214">
        <v>5.9700000000000003E-2</v>
      </c>
      <c r="R25" s="215">
        <f t="shared" si="2"/>
        <v>0.59699999999999998</v>
      </c>
      <c r="S25" s="215">
        <v>5.9700000000000003E-2</v>
      </c>
      <c r="T25" s="215">
        <f t="shared" si="3"/>
        <v>1.7910000000000001</v>
      </c>
      <c r="U25" s="216"/>
      <c r="V25" s="216"/>
      <c r="W25" s="217"/>
    </row>
    <row r="26" spans="1:23" ht="28.2" thickBot="1">
      <c r="A26" s="6">
        <v>24</v>
      </c>
      <c r="B26" s="252" t="s">
        <v>32</v>
      </c>
      <c r="C26" s="221" t="s">
        <v>79</v>
      </c>
      <c r="D26" s="183" t="s">
        <v>33</v>
      </c>
      <c r="E26" s="183" t="s">
        <v>28</v>
      </c>
      <c r="F26" s="183" t="s">
        <v>80</v>
      </c>
      <c r="G26" s="200" t="s">
        <v>124</v>
      </c>
      <c r="H26" s="201" t="s">
        <v>125</v>
      </c>
      <c r="I26" s="200" t="s">
        <v>39</v>
      </c>
      <c r="J26" s="183" t="s">
        <v>22</v>
      </c>
      <c r="K26" s="183">
        <v>7</v>
      </c>
      <c r="L26" s="183">
        <v>22</v>
      </c>
      <c r="M26" s="202">
        <v>1</v>
      </c>
      <c r="N26" s="202">
        <f t="shared" si="0"/>
        <v>5</v>
      </c>
      <c r="O26" s="187">
        <f t="shared" si="1"/>
        <v>20</v>
      </c>
      <c r="P26" s="203" t="s">
        <v>16</v>
      </c>
      <c r="Q26" s="204">
        <v>0.21840000000000001</v>
      </c>
      <c r="R26" s="205">
        <f>Q26*K26</f>
        <v>1.5288000000000002</v>
      </c>
      <c r="S26" s="205">
        <v>0.1774</v>
      </c>
      <c r="T26" s="190">
        <f t="shared" si="3"/>
        <v>3.9028</v>
      </c>
      <c r="U26" s="206"/>
      <c r="V26" s="181" t="s">
        <v>293</v>
      </c>
      <c r="W26" s="234"/>
    </row>
    <row r="27" spans="1:23" ht="28.2" thickBot="1">
      <c r="A27" s="6">
        <v>25</v>
      </c>
      <c r="B27" s="252"/>
      <c r="C27" s="143" t="s">
        <v>81</v>
      </c>
      <c r="D27" s="144" t="s">
        <v>82</v>
      </c>
      <c r="E27" s="145" t="s">
        <v>28</v>
      </c>
      <c r="F27" s="145" t="s">
        <v>83</v>
      </c>
      <c r="G27" s="146" t="s">
        <v>126</v>
      </c>
      <c r="H27" s="147" t="s">
        <v>127</v>
      </c>
      <c r="I27" s="146" t="s">
        <v>39</v>
      </c>
      <c r="J27" s="145" t="s">
        <v>22</v>
      </c>
      <c r="K27" s="145">
        <v>15</v>
      </c>
      <c r="L27" s="145">
        <v>45</v>
      </c>
      <c r="M27" s="148">
        <v>2</v>
      </c>
      <c r="N27" s="148">
        <f t="shared" si="0"/>
        <v>10</v>
      </c>
      <c r="O27" s="148">
        <f t="shared" si="1"/>
        <v>40</v>
      </c>
      <c r="P27" s="149" t="s">
        <v>16</v>
      </c>
      <c r="Q27" s="150">
        <v>0.1085</v>
      </c>
      <c r="R27" s="151">
        <f t="shared" si="2"/>
        <v>1.6274999999999999</v>
      </c>
      <c r="S27" s="151">
        <v>0.1085</v>
      </c>
      <c r="T27" s="151">
        <f t="shared" si="3"/>
        <v>4.8825000000000003</v>
      </c>
      <c r="U27" s="152"/>
      <c r="V27" s="152" t="s">
        <v>293</v>
      </c>
      <c r="W27" s="153"/>
    </row>
    <row r="28" spans="1:23" ht="28.2" thickBot="1">
      <c r="A28" s="6">
        <v>26</v>
      </c>
      <c r="B28" s="252"/>
      <c r="C28" s="87" t="s">
        <v>166</v>
      </c>
      <c r="D28" s="134" t="s">
        <v>167</v>
      </c>
      <c r="E28" s="68" t="s">
        <v>28</v>
      </c>
      <c r="F28" s="68" t="s">
        <v>168</v>
      </c>
      <c r="G28" s="47" t="s">
        <v>204</v>
      </c>
      <c r="H28" s="48" t="s">
        <v>205</v>
      </c>
      <c r="I28" s="49" t="s">
        <v>39</v>
      </c>
      <c r="J28" s="68" t="s">
        <v>206</v>
      </c>
      <c r="K28" s="68">
        <v>10</v>
      </c>
      <c r="L28" s="68">
        <v>25</v>
      </c>
      <c r="M28" s="98">
        <v>1</v>
      </c>
      <c r="N28" s="98">
        <f t="shared" si="0"/>
        <v>5</v>
      </c>
      <c r="O28" s="98">
        <f t="shared" si="1"/>
        <v>20</v>
      </c>
      <c r="P28" s="182" t="s">
        <v>16</v>
      </c>
      <c r="Q28" s="50">
        <v>9.6199999999999994E-2</v>
      </c>
      <c r="R28" s="99">
        <f t="shared" si="2"/>
        <v>0.96199999999999997</v>
      </c>
      <c r="S28" s="99">
        <v>9.6199999999999994E-2</v>
      </c>
      <c r="T28" s="99">
        <f t="shared" si="3"/>
        <v>2.4049999999999998</v>
      </c>
      <c r="U28" s="26"/>
      <c r="V28" s="26"/>
      <c r="W28" s="27"/>
    </row>
    <row r="29" spans="1:23" ht="15" thickBot="1">
      <c r="A29" s="6">
        <v>27</v>
      </c>
      <c r="B29" s="251" t="s">
        <v>23</v>
      </c>
      <c r="C29" s="69" t="s">
        <v>84</v>
      </c>
      <c r="D29" s="137" t="s">
        <v>169</v>
      </c>
      <c r="E29" s="35" t="s">
        <v>24</v>
      </c>
      <c r="F29" s="73" t="s">
        <v>85</v>
      </c>
      <c r="G29" s="32" t="s">
        <v>130</v>
      </c>
      <c r="H29" s="33" t="s">
        <v>129</v>
      </c>
      <c r="I29" s="117" t="s">
        <v>128</v>
      </c>
      <c r="J29" s="35" t="s">
        <v>88</v>
      </c>
      <c r="K29" s="138">
        <v>100</v>
      </c>
      <c r="L29" s="138">
        <v>100</v>
      </c>
      <c r="M29" s="138">
        <v>3</v>
      </c>
      <c r="N29" s="36">
        <f t="shared" si="0"/>
        <v>15</v>
      </c>
      <c r="O29" s="36">
        <f t="shared" si="1"/>
        <v>60</v>
      </c>
      <c r="P29" s="139" t="s">
        <v>16</v>
      </c>
      <c r="Q29" s="37">
        <v>1E-3</v>
      </c>
      <c r="R29" s="38">
        <f t="shared" si="2"/>
        <v>0.1</v>
      </c>
      <c r="S29" s="38">
        <v>1E-3</v>
      </c>
      <c r="T29" s="38">
        <f t="shared" si="3"/>
        <v>0.1</v>
      </c>
      <c r="U29" s="11"/>
      <c r="V29" s="11"/>
      <c r="W29" s="12"/>
    </row>
    <row r="30" spans="1:23" ht="15" thickBot="1">
      <c r="A30" s="6">
        <v>28</v>
      </c>
      <c r="B30" s="252"/>
      <c r="C30" s="74" t="s">
        <v>266</v>
      </c>
      <c r="D30" s="109" t="s">
        <v>170</v>
      </c>
      <c r="E30" s="41" t="s">
        <v>24</v>
      </c>
      <c r="F30" s="41" t="s">
        <v>267</v>
      </c>
      <c r="G30" s="45" t="s">
        <v>114</v>
      </c>
      <c r="H30" s="39" t="s">
        <v>268</v>
      </c>
      <c r="I30" s="85" t="s">
        <v>40</v>
      </c>
      <c r="J30" s="41" t="s">
        <v>265</v>
      </c>
      <c r="K30" s="86">
        <v>100</v>
      </c>
      <c r="L30" s="86">
        <v>100</v>
      </c>
      <c r="M30" s="86">
        <v>1</v>
      </c>
      <c r="N30" s="65">
        <f t="shared" si="0"/>
        <v>5</v>
      </c>
      <c r="O30" s="65">
        <f t="shared" si="1"/>
        <v>20</v>
      </c>
      <c r="P30" s="93" t="s">
        <v>16</v>
      </c>
      <c r="Q30" s="43">
        <v>1.6999999999999999E-3</v>
      </c>
      <c r="R30" s="91">
        <f t="shared" si="2"/>
        <v>0.16999999999999998</v>
      </c>
      <c r="S30" s="91">
        <v>1.6999999999999999E-3</v>
      </c>
      <c r="T30" s="91">
        <f t="shared" si="3"/>
        <v>0.16999999999999998</v>
      </c>
      <c r="U30" s="13"/>
      <c r="V30" s="13"/>
      <c r="W30" s="14"/>
    </row>
    <row r="31" spans="1:23" ht="15" thickBot="1">
      <c r="A31" s="6">
        <v>29</v>
      </c>
      <c r="B31" s="252"/>
      <c r="C31" s="74" t="s">
        <v>171</v>
      </c>
      <c r="D31" s="116" t="s">
        <v>172</v>
      </c>
      <c r="E31" s="41" t="s">
        <v>24</v>
      </c>
      <c r="F31" s="41" t="s">
        <v>173</v>
      </c>
      <c r="G31" s="45" t="s">
        <v>114</v>
      </c>
      <c r="H31" s="39" t="s">
        <v>207</v>
      </c>
      <c r="I31" s="85" t="s">
        <v>40</v>
      </c>
      <c r="J31" s="41" t="s">
        <v>174</v>
      </c>
      <c r="K31" s="86">
        <v>100</v>
      </c>
      <c r="L31" s="86">
        <v>100</v>
      </c>
      <c r="M31" s="86">
        <v>1</v>
      </c>
      <c r="N31" s="65">
        <f t="shared" si="0"/>
        <v>5</v>
      </c>
      <c r="O31" s="65">
        <f t="shared" si="1"/>
        <v>20</v>
      </c>
      <c r="P31" s="93" t="s">
        <v>16</v>
      </c>
      <c r="Q31" s="43">
        <v>1.6000000000000001E-3</v>
      </c>
      <c r="R31" s="91">
        <f t="shared" si="2"/>
        <v>0.16</v>
      </c>
      <c r="S31" s="91">
        <v>1.6000000000000001E-3</v>
      </c>
      <c r="T31" s="91">
        <f t="shared" si="3"/>
        <v>0.16</v>
      </c>
      <c r="U31" s="13"/>
      <c r="V31" s="13"/>
      <c r="W31" s="14"/>
    </row>
    <row r="32" spans="1:23" ht="15" thickBot="1">
      <c r="A32" s="6">
        <v>30</v>
      </c>
      <c r="B32" s="252"/>
      <c r="C32" s="74" t="s">
        <v>236</v>
      </c>
      <c r="D32" s="116" t="s">
        <v>237</v>
      </c>
      <c r="E32" s="41" t="s">
        <v>24</v>
      </c>
      <c r="F32" s="41" t="s">
        <v>238</v>
      </c>
      <c r="G32" s="45" t="s">
        <v>114</v>
      </c>
      <c r="H32" s="39" t="s">
        <v>239</v>
      </c>
      <c r="I32" s="85" t="s">
        <v>40</v>
      </c>
      <c r="J32" s="41" t="s">
        <v>240</v>
      </c>
      <c r="K32" s="86">
        <v>100</v>
      </c>
      <c r="L32" s="86">
        <v>100</v>
      </c>
      <c r="M32" s="86">
        <v>4</v>
      </c>
      <c r="N32" s="65">
        <f t="shared" si="0"/>
        <v>20</v>
      </c>
      <c r="O32" s="65">
        <f t="shared" si="1"/>
        <v>80</v>
      </c>
      <c r="P32" s="93" t="s">
        <v>16</v>
      </c>
      <c r="Q32" s="43">
        <v>1.4E-3</v>
      </c>
      <c r="R32" s="91">
        <f t="shared" si="2"/>
        <v>0.13999999999999999</v>
      </c>
      <c r="S32" s="91">
        <v>1.4E-3</v>
      </c>
      <c r="T32" s="91">
        <f t="shared" si="3"/>
        <v>0.13999999999999999</v>
      </c>
      <c r="U32" s="13"/>
      <c r="V32" s="13"/>
      <c r="W32" s="14"/>
    </row>
    <row r="33" spans="1:23" ht="15" thickBot="1">
      <c r="A33" s="6">
        <v>31</v>
      </c>
      <c r="B33" s="253"/>
      <c r="C33" s="71" t="s">
        <v>86</v>
      </c>
      <c r="D33" s="140" t="s">
        <v>279</v>
      </c>
      <c r="E33" s="72" t="s">
        <v>24</v>
      </c>
      <c r="F33" s="72" t="s">
        <v>87</v>
      </c>
      <c r="G33" s="51" t="s">
        <v>114</v>
      </c>
      <c r="H33" s="52" t="s">
        <v>131</v>
      </c>
      <c r="I33" s="122" t="s">
        <v>40</v>
      </c>
      <c r="J33" s="72" t="s">
        <v>25</v>
      </c>
      <c r="K33" s="141">
        <v>100</v>
      </c>
      <c r="L33" s="141">
        <v>100</v>
      </c>
      <c r="M33" s="141">
        <v>2</v>
      </c>
      <c r="N33" s="54">
        <f t="shared" si="0"/>
        <v>10</v>
      </c>
      <c r="O33" s="54">
        <f t="shared" si="1"/>
        <v>40</v>
      </c>
      <c r="P33" s="142" t="s">
        <v>16</v>
      </c>
      <c r="Q33" s="55">
        <v>1.4E-3</v>
      </c>
      <c r="R33" s="96">
        <f t="shared" si="2"/>
        <v>0.13999999999999999</v>
      </c>
      <c r="S33" s="96">
        <v>1.4E-3</v>
      </c>
      <c r="T33" s="96">
        <f t="shared" si="3"/>
        <v>0.13999999999999999</v>
      </c>
      <c r="U33" s="15"/>
      <c r="V33" s="15"/>
      <c r="W33" s="16"/>
    </row>
    <row r="34" spans="1:23" ht="16.2" thickBot="1">
      <c r="A34" s="6">
        <v>32</v>
      </c>
      <c r="B34" s="252" t="s">
        <v>105</v>
      </c>
      <c r="C34" s="221" t="s">
        <v>89</v>
      </c>
      <c r="D34" s="183" t="s">
        <v>90</v>
      </c>
      <c r="E34" s="184" t="s">
        <v>91</v>
      </c>
      <c r="F34" s="184" t="s">
        <v>92</v>
      </c>
      <c r="G34" s="185" t="s">
        <v>31</v>
      </c>
      <c r="H34" s="186" t="s">
        <v>132</v>
      </c>
      <c r="I34" s="185" t="s">
        <v>39</v>
      </c>
      <c r="J34" s="184" t="s">
        <v>22</v>
      </c>
      <c r="K34" s="184">
        <v>11</v>
      </c>
      <c r="L34" s="184">
        <v>42</v>
      </c>
      <c r="M34" s="187">
        <v>2</v>
      </c>
      <c r="N34" s="187">
        <f t="shared" si="0"/>
        <v>10</v>
      </c>
      <c r="O34" s="187">
        <f t="shared" si="1"/>
        <v>40</v>
      </c>
      <c r="P34" s="188" t="s">
        <v>135</v>
      </c>
      <c r="Q34" s="189">
        <v>0.318</v>
      </c>
      <c r="R34" s="190">
        <f t="shared" si="2"/>
        <v>3.4980000000000002</v>
      </c>
      <c r="S34" s="190">
        <v>0.4148</v>
      </c>
      <c r="T34" s="190">
        <f t="shared" si="3"/>
        <v>17.421600000000002</v>
      </c>
      <c r="U34" s="181"/>
      <c r="V34" s="181" t="s">
        <v>293</v>
      </c>
      <c r="W34" s="235" t="s">
        <v>135</v>
      </c>
    </row>
    <row r="35" spans="1:23" ht="28.2" thickBot="1">
      <c r="A35" s="6">
        <v>33</v>
      </c>
      <c r="B35" s="252"/>
      <c r="C35" s="143" t="s">
        <v>93</v>
      </c>
      <c r="D35" s="144" t="s">
        <v>30</v>
      </c>
      <c r="E35" s="145" t="s">
        <v>94</v>
      </c>
      <c r="F35" s="145" t="s">
        <v>95</v>
      </c>
      <c r="G35" s="146" t="s">
        <v>133</v>
      </c>
      <c r="H35" s="146" t="s">
        <v>134</v>
      </c>
      <c r="I35" s="146" t="s">
        <v>39</v>
      </c>
      <c r="J35" s="145" t="s">
        <v>22</v>
      </c>
      <c r="K35" s="146">
        <v>6</v>
      </c>
      <c r="L35" s="146">
        <v>21</v>
      </c>
      <c r="M35" s="148">
        <v>1</v>
      </c>
      <c r="N35" s="148">
        <f t="shared" si="0"/>
        <v>5</v>
      </c>
      <c r="O35" s="148">
        <f t="shared" si="1"/>
        <v>20</v>
      </c>
      <c r="P35" s="149" t="s">
        <v>16</v>
      </c>
      <c r="Q35" s="150">
        <v>0.40610000000000002</v>
      </c>
      <c r="R35" s="151">
        <f t="shared" si="2"/>
        <v>2.4366000000000003</v>
      </c>
      <c r="S35" s="151">
        <v>0.3528</v>
      </c>
      <c r="T35" s="151">
        <f t="shared" si="3"/>
        <v>7.4088000000000003</v>
      </c>
      <c r="U35" s="152"/>
      <c r="V35" s="152" t="s">
        <v>293</v>
      </c>
      <c r="W35" s="153"/>
    </row>
    <row r="36" spans="1:23" ht="15" thickBot="1">
      <c r="A36" s="6">
        <v>34</v>
      </c>
      <c r="B36" s="252"/>
      <c r="C36" s="143" t="s">
        <v>96</v>
      </c>
      <c r="D36" s="144" t="s">
        <v>29</v>
      </c>
      <c r="E36" s="145" t="s">
        <v>97</v>
      </c>
      <c r="F36" s="145" t="s">
        <v>98</v>
      </c>
      <c r="G36" s="146" t="s">
        <v>31</v>
      </c>
      <c r="H36" s="146" t="s">
        <v>22</v>
      </c>
      <c r="I36" s="145" t="s">
        <v>39</v>
      </c>
      <c r="J36" s="145" t="s">
        <v>22</v>
      </c>
      <c r="K36" s="146">
        <v>6</v>
      </c>
      <c r="L36" s="146">
        <v>21</v>
      </c>
      <c r="M36" s="148">
        <v>1</v>
      </c>
      <c r="N36" s="148">
        <f t="shared" si="0"/>
        <v>5</v>
      </c>
      <c r="O36" s="148">
        <f t="shared" si="1"/>
        <v>20</v>
      </c>
      <c r="P36" s="149" t="s">
        <v>153</v>
      </c>
      <c r="Q36" s="154">
        <v>8</v>
      </c>
      <c r="R36" s="151">
        <f t="shared" si="2"/>
        <v>48</v>
      </c>
      <c r="S36" s="151">
        <v>8</v>
      </c>
      <c r="T36" s="151">
        <f t="shared" si="3"/>
        <v>168</v>
      </c>
      <c r="U36" s="155"/>
      <c r="V36" s="152" t="s">
        <v>293</v>
      </c>
      <c r="W36" s="156"/>
    </row>
    <row r="37" spans="1:23" ht="15" thickBot="1">
      <c r="A37" s="6">
        <v>35</v>
      </c>
      <c r="B37" s="252"/>
      <c r="C37" s="78" t="s">
        <v>99</v>
      </c>
      <c r="D37" s="110" t="s">
        <v>100</v>
      </c>
      <c r="E37" s="79" t="s">
        <v>136</v>
      </c>
      <c r="F37" s="79" t="s">
        <v>101</v>
      </c>
      <c r="G37" s="80" t="s">
        <v>31</v>
      </c>
      <c r="H37" s="80" t="s">
        <v>22</v>
      </c>
      <c r="I37" s="79" t="s">
        <v>39</v>
      </c>
      <c r="J37" s="79" t="s">
        <v>22</v>
      </c>
      <c r="K37" s="80">
        <v>11</v>
      </c>
      <c r="L37" s="80">
        <v>41</v>
      </c>
      <c r="M37" s="81">
        <v>2</v>
      </c>
      <c r="N37" s="81">
        <f t="shared" si="0"/>
        <v>10</v>
      </c>
      <c r="O37" s="65">
        <f t="shared" si="1"/>
        <v>40</v>
      </c>
      <c r="P37" s="82" t="s">
        <v>153</v>
      </c>
      <c r="Q37" s="159">
        <v>4.76</v>
      </c>
      <c r="R37" s="94">
        <f t="shared" si="2"/>
        <v>52.36</v>
      </c>
      <c r="S37" s="94">
        <v>4.76</v>
      </c>
      <c r="T37" s="160">
        <f t="shared" si="3"/>
        <v>195.16</v>
      </c>
      <c r="U37" s="83" t="s">
        <v>295</v>
      </c>
      <c r="V37" s="152" t="s">
        <v>293</v>
      </c>
      <c r="W37" s="236">
        <v>4.76</v>
      </c>
    </row>
    <row r="38" spans="1:23" ht="15" thickBot="1">
      <c r="A38" s="6">
        <v>36</v>
      </c>
      <c r="B38" s="252"/>
      <c r="C38" s="74" t="s">
        <v>175</v>
      </c>
      <c r="D38" s="109" t="s">
        <v>176</v>
      </c>
      <c r="E38" s="41" t="s">
        <v>208</v>
      </c>
      <c r="F38" s="41" t="s">
        <v>177</v>
      </c>
      <c r="G38" s="45" t="s">
        <v>209</v>
      </c>
      <c r="H38" s="45" t="s">
        <v>210</v>
      </c>
      <c r="I38" s="40" t="s">
        <v>39</v>
      </c>
      <c r="J38" s="41" t="s">
        <v>22</v>
      </c>
      <c r="K38" s="45">
        <v>6</v>
      </c>
      <c r="L38" s="45">
        <v>21</v>
      </c>
      <c r="M38" s="65">
        <v>1</v>
      </c>
      <c r="N38" s="65">
        <f t="shared" si="0"/>
        <v>5</v>
      </c>
      <c r="O38" s="65">
        <f t="shared" si="1"/>
        <v>20</v>
      </c>
      <c r="P38" s="84" t="s">
        <v>16</v>
      </c>
      <c r="Q38" s="43">
        <v>2.3496999999999999</v>
      </c>
      <c r="R38" s="91">
        <f t="shared" si="2"/>
        <v>14.098199999999999</v>
      </c>
      <c r="S38" s="91">
        <v>2.3496999999999999</v>
      </c>
      <c r="T38" s="91">
        <f t="shared" si="3"/>
        <v>49.343699999999998</v>
      </c>
      <c r="U38" s="19"/>
      <c r="V38" s="19"/>
      <c r="W38" s="14"/>
    </row>
    <row r="39" spans="1:23" ht="15" thickBot="1">
      <c r="A39" s="6">
        <v>37</v>
      </c>
      <c r="B39" s="252"/>
      <c r="C39" s="74" t="s">
        <v>178</v>
      </c>
      <c r="D39" s="109" t="s">
        <v>179</v>
      </c>
      <c r="E39" s="41" t="s">
        <v>180</v>
      </c>
      <c r="F39" s="41" t="s">
        <v>181</v>
      </c>
      <c r="G39" s="45" t="s">
        <v>211</v>
      </c>
      <c r="H39" s="45" t="s">
        <v>212</v>
      </c>
      <c r="I39" s="40" t="s">
        <v>39</v>
      </c>
      <c r="J39" s="41" t="s">
        <v>22</v>
      </c>
      <c r="K39" s="45">
        <v>6</v>
      </c>
      <c r="L39" s="45">
        <v>21</v>
      </c>
      <c r="M39" s="65">
        <v>1</v>
      </c>
      <c r="N39" s="65">
        <f t="shared" si="0"/>
        <v>5</v>
      </c>
      <c r="O39" s="65">
        <f t="shared" si="1"/>
        <v>20</v>
      </c>
      <c r="P39" s="84" t="s">
        <v>16</v>
      </c>
      <c r="Q39" s="43">
        <v>0.6492</v>
      </c>
      <c r="R39" s="91">
        <f t="shared" si="2"/>
        <v>3.8952</v>
      </c>
      <c r="S39" s="91">
        <v>0.5464</v>
      </c>
      <c r="T39" s="91">
        <f t="shared" si="3"/>
        <v>11.474399999999999</v>
      </c>
      <c r="U39" s="19"/>
      <c r="V39" s="19"/>
      <c r="W39" s="14"/>
    </row>
    <row r="40" spans="1:23" ht="15" thickBot="1">
      <c r="A40" s="6">
        <v>38</v>
      </c>
      <c r="B40" s="252"/>
      <c r="C40" s="143" t="s">
        <v>269</v>
      </c>
      <c r="D40" s="144" t="s">
        <v>270</v>
      </c>
      <c r="E40" s="145" t="s">
        <v>28</v>
      </c>
      <c r="F40" s="145" t="s">
        <v>271</v>
      </c>
      <c r="G40" s="146" t="s">
        <v>277</v>
      </c>
      <c r="H40" s="146"/>
      <c r="I40" s="146" t="s">
        <v>39</v>
      </c>
      <c r="J40" s="145" t="s">
        <v>22</v>
      </c>
      <c r="K40" s="146">
        <v>6</v>
      </c>
      <c r="L40" s="146">
        <v>22</v>
      </c>
      <c r="M40" s="148">
        <v>1</v>
      </c>
      <c r="N40" s="148">
        <f t="shared" si="0"/>
        <v>5</v>
      </c>
      <c r="O40" s="148">
        <f t="shared" si="1"/>
        <v>20</v>
      </c>
      <c r="P40" s="158" t="s">
        <v>242</v>
      </c>
      <c r="Q40" s="150">
        <v>0.8</v>
      </c>
      <c r="R40" s="151">
        <f t="shared" si="2"/>
        <v>4.8000000000000007</v>
      </c>
      <c r="S40" s="151">
        <v>0.8</v>
      </c>
      <c r="T40" s="151">
        <f t="shared" si="3"/>
        <v>17.600000000000001</v>
      </c>
      <c r="U40" s="157" t="s">
        <v>278</v>
      </c>
      <c r="V40" s="152" t="s">
        <v>293</v>
      </c>
      <c r="W40" s="153"/>
    </row>
    <row r="41" spans="1:23" ht="15" thickBot="1">
      <c r="A41" s="6">
        <v>39</v>
      </c>
      <c r="B41" s="252"/>
      <c r="C41" s="143" t="s">
        <v>282</v>
      </c>
      <c r="D41" s="144" t="s">
        <v>280</v>
      </c>
      <c r="E41" s="145" t="s">
        <v>283</v>
      </c>
      <c r="F41" s="168" t="s">
        <v>284</v>
      </c>
      <c r="G41" s="146" t="s">
        <v>285</v>
      </c>
      <c r="H41" s="146" t="s">
        <v>39</v>
      </c>
      <c r="I41" s="146" t="s">
        <v>39</v>
      </c>
      <c r="J41" s="145" t="s">
        <v>22</v>
      </c>
      <c r="K41" s="146">
        <v>10</v>
      </c>
      <c r="L41" s="146">
        <v>30</v>
      </c>
      <c r="M41" s="148">
        <v>1</v>
      </c>
      <c r="N41" s="148">
        <f t="shared" si="0"/>
        <v>5</v>
      </c>
      <c r="O41" s="148">
        <f t="shared" si="1"/>
        <v>20</v>
      </c>
      <c r="P41" s="149" t="s">
        <v>135</v>
      </c>
      <c r="Q41" s="150">
        <v>1</v>
      </c>
      <c r="R41" s="151">
        <f t="shared" si="2"/>
        <v>10</v>
      </c>
      <c r="S41" s="151">
        <v>1</v>
      </c>
      <c r="T41" s="151">
        <f t="shared" si="3"/>
        <v>30</v>
      </c>
      <c r="U41" s="169"/>
      <c r="V41" s="152" t="s">
        <v>293</v>
      </c>
      <c r="W41" s="153"/>
    </row>
    <row r="42" spans="1:23" ht="28.2" thickBot="1">
      <c r="A42" s="6">
        <v>40</v>
      </c>
      <c r="B42" s="252"/>
      <c r="C42" s="87" t="s">
        <v>102</v>
      </c>
      <c r="D42" s="134" t="s">
        <v>103</v>
      </c>
      <c r="E42" s="68" t="s">
        <v>137</v>
      </c>
      <c r="F42" s="68" t="s">
        <v>104</v>
      </c>
      <c r="G42" s="68" t="s">
        <v>138</v>
      </c>
      <c r="H42" s="68" t="s">
        <v>139</v>
      </c>
      <c r="I42" s="68" t="s">
        <v>39</v>
      </c>
      <c r="J42" s="68" t="s">
        <v>22</v>
      </c>
      <c r="K42" s="47">
        <v>10</v>
      </c>
      <c r="L42" s="47">
        <v>30</v>
      </c>
      <c r="M42" s="98">
        <v>1</v>
      </c>
      <c r="N42" s="98">
        <f t="shared" si="0"/>
        <v>5</v>
      </c>
      <c r="O42" s="98">
        <f t="shared" si="1"/>
        <v>20</v>
      </c>
      <c r="P42" s="223" t="s">
        <v>16</v>
      </c>
      <c r="Q42" s="50">
        <v>5.6099999999999997E-2</v>
      </c>
      <c r="R42" s="99">
        <f t="shared" si="2"/>
        <v>0.56099999999999994</v>
      </c>
      <c r="S42" s="99">
        <v>5.6099999999999997E-2</v>
      </c>
      <c r="T42" s="99">
        <f t="shared" si="3"/>
        <v>1.6829999999999998</v>
      </c>
      <c r="U42" s="224"/>
      <c r="V42" s="224"/>
      <c r="W42" s="27"/>
    </row>
    <row r="43" spans="1:23" ht="15" thickBot="1">
      <c r="A43" s="6">
        <v>41</v>
      </c>
      <c r="B43" s="251" t="s">
        <v>110</v>
      </c>
      <c r="C43" s="69" t="s">
        <v>106</v>
      </c>
      <c r="D43" s="70" t="s">
        <v>41</v>
      </c>
      <c r="E43" s="35" t="s">
        <v>28</v>
      </c>
      <c r="F43" s="73" t="s">
        <v>107</v>
      </c>
      <c r="G43" s="36" t="s">
        <v>140</v>
      </c>
      <c r="H43" s="36" t="s">
        <v>141</v>
      </c>
      <c r="I43" s="35" t="s">
        <v>39</v>
      </c>
      <c r="J43" s="35" t="s">
        <v>22</v>
      </c>
      <c r="K43" s="57">
        <v>50</v>
      </c>
      <c r="L43" s="57">
        <v>50</v>
      </c>
      <c r="M43" s="58">
        <v>1</v>
      </c>
      <c r="N43" s="36">
        <f t="shared" si="0"/>
        <v>5</v>
      </c>
      <c r="O43" s="36">
        <f t="shared" si="1"/>
        <v>20</v>
      </c>
      <c r="P43" s="76" t="s">
        <v>16</v>
      </c>
      <c r="Q43" s="37">
        <v>1.4500000000000001E-2</v>
      </c>
      <c r="R43" s="38">
        <f t="shared" si="2"/>
        <v>0.72500000000000009</v>
      </c>
      <c r="S43" s="38">
        <v>1.4500000000000001E-2</v>
      </c>
      <c r="T43" s="38">
        <f t="shared" si="3"/>
        <v>0.72500000000000009</v>
      </c>
      <c r="U43" s="20"/>
      <c r="V43" s="20"/>
      <c r="W43" s="12"/>
    </row>
    <row r="44" spans="1:23" ht="28.2" thickBot="1">
      <c r="A44" s="6">
        <v>42</v>
      </c>
      <c r="B44" s="252"/>
      <c r="C44" s="74" t="s">
        <v>289</v>
      </c>
      <c r="D44" s="109" t="s">
        <v>42</v>
      </c>
      <c r="E44" s="41" t="s">
        <v>28</v>
      </c>
      <c r="F44" s="41" t="s">
        <v>290</v>
      </c>
      <c r="G44" s="41" t="s">
        <v>291</v>
      </c>
      <c r="H44" s="41" t="s">
        <v>292</v>
      </c>
      <c r="I44" s="41" t="s">
        <v>39</v>
      </c>
      <c r="J44" s="41" t="s">
        <v>22</v>
      </c>
      <c r="K44" s="41">
        <v>10</v>
      </c>
      <c r="L44" s="41">
        <v>30</v>
      </c>
      <c r="M44" s="59">
        <v>1</v>
      </c>
      <c r="N44" s="65">
        <f t="shared" si="0"/>
        <v>5</v>
      </c>
      <c r="O44" s="65">
        <f t="shared" si="1"/>
        <v>20</v>
      </c>
      <c r="P44" s="84" t="s">
        <v>16</v>
      </c>
      <c r="Q44" s="56">
        <v>6.2E-2</v>
      </c>
      <c r="R44" s="91">
        <f t="shared" si="2"/>
        <v>0.62</v>
      </c>
      <c r="S44" s="91">
        <v>6.2E-2</v>
      </c>
      <c r="T44" s="91">
        <f t="shared" si="3"/>
        <v>1.8599999999999999</v>
      </c>
      <c r="U44" s="24"/>
      <c r="V44" s="24"/>
      <c r="W44" s="14"/>
    </row>
    <row r="45" spans="1:23" ht="15" thickBot="1">
      <c r="A45" s="6">
        <v>43</v>
      </c>
      <c r="B45" s="252"/>
      <c r="C45" s="74" t="s">
        <v>108</v>
      </c>
      <c r="D45" s="109" t="s">
        <v>34</v>
      </c>
      <c r="E45" s="41" t="s">
        <v>28</v>
      </c>
      <c r="F45" s="77" t="s">
        <v>109</v>
      </c>
      <c r="G45" s="41" t="s">
        <v>142</v>
      </c>
      <c r="H45" s="41" t="s">
        <v>143</v>
      </c>
      <c r="I45" s="41" t="s">
        <v>148</v>
      </c>
      <c r="J45" s="41" t="s">
        <v>22</v>
      </c>
      <c r="K45" s="41">
        <v>50</v>
      </c>
      <c r="L45" s="41">
        <v>50</v>
      </c>
      <c r="M45" s="59">
        <v>1</v>
      </c>
      <c r="N45" s="65">
        <f t="shared" si="0"/>
        <v>5</v>
      </c>
      <c r="O45" s="65">
        <f t="shared" si="1"/>
        <v>20</v>
      </c>
      <c r="P45" s="75" t="s">
        <v>16</v>
      </c>
      <c r="Q45" s="43">
        <v>1.2999999999999999E-2</v>
      </c>
      <c r="R45" s="91">
        <f t="shared" si="2"/>
        <v>0.65</v>
      </c>
      <c r="S45" s="91">
        <v>1.2999999999999999E-2</v>
      </c>
      <c r="T45" s="91">
        <f t="shared" si="3"/>
        <v>0.65</v>
      </c>
      <c r="U45" s="25"/>
      <c r="V45" s="25"/>
      <c r="W45" s="14"/>
    </row>
    <row r="46" spans="1:23" ht="15" thickBot="1">
      <c r="A46" s="6">
        <v>44</v>
      </c>
      <c r="B46" s="252"/>
      <c r="C46" s="162" t="s">
        <v>272</v>
      </c>
      <c r="D46" s="116" t="s">
        <v>273</v>
      </c>
      <c r="E46" s="85" t="s">
        <v>28</v>
      </c>
      <c r="F46" s="85" t="s">
        <v>274</v>
      </c>
      <c r="G46" s="85" t="s">
        <v>275</v>
      </c>
      <c r="H46" s="85" t="s">
        <v>276</v>
      </c>
      <c r="I46" s="85" t="s">
        <v>40</v>
      </c>
      <c r="J46" s="85" t="s">
        <v>22</v>
      </c>
      <c r="K46" s="85">
        <v>5</v>
      </c>
      <c r="L46" s="85">
        <v>25</v>
      </c>
      <c r="M46" s="46">
        <v>1</v>
      </c>
      <c r="N46" s="46">
        <f t="shared" si="0"/>
        <v>5</v>
      </c>
      <c r="O46" s="46">
        <f t="shared" si="1"/>
        <v>20</v>
      </c>
      <c r="P46" s="163" t="s">
        <v>16</v>
      </c>
      <c r="Q46" s="164">
        <v>9.3600000000000003E-2</v>
      </c>
      <c r="R46" s="165">
        <f t="shared" si="2"/>
        <v>0.46800000000000003</v>
      </c>
      <c r="S46" s="165">
        <v>9.3600000000000003E-2</v>
      </c>
      <c r="T46" s="165">
        <f t="shared" si="3"/>
        <v>2.34</v>
      </c>
      <c r="U46" s="166"/>
      <c r="V46" s="170"/>
      <c r="W46" s="167"/>
    </row>
    <row r="47" spans="1:23" ht="15" thickBot="1">
      <c r="A47" s="6">
        <v>45</v>
      </c>
      <c r="B47" s="252"/>
      <c r="C47" s="74" t="s">
        <v>286</v>
      </c>
      <c r="D47" s="41" t="s">
        <v>281</v>
      </c>
      <c r="E47" s="41" t="s">
        <v>28</v>
      </c>
      <c r="F47" s="171">
        <v>61300611121</v>
      </c>
      <c r="G47" s="41" t="s">
        <v>287</v>
      </c>
      <c r="H47" s="41" t="s">
        <v>288</v>
      </c>
      <c r="I47" s="41" t="s">
        <v>288</v>
      </c>
      <c r="J47" s="41" t="s">
        <v>22</v>
      </c>
      <c r="K47" s="41">
        <v>20</v>
      </c>
      <c r="L47" s="41">
        <v>40</v>
      </c>
      <c r="M47" s="59">
        <v>1</v>
      </c>
      <c r="N47" s="65">
        <f t="shared" si="0"/>
        <v>5</v>
      </c>
      <c r="O47" s="65">
        <f t="shared" si="1"/>
        <v>20</v>
      </c>
      <c r="P47" s="84" t="s">
        <v>16</v>
      </c>
      <c r="Q47" s="43">
        <v>3.09E-2</v>
      </c>
      <c r="R47" s="91">
        <f t="shared" si="2"/>
        <v>0.61799999999999999</v>
      </c>
      <c r="S47" s="91">
        <v>3.09E-2</v>
      </c>
      <c r="T47" s="91">
        <f t="shared" si="3"/>
        <v>1.236</v>
      </c>
      <c r="U47" s="25"/>
      <c r="V47" s="25"/>
      <c r="W47" s="14"/>
    </row>
    <row r="48" spans="1:23" ht="124.8" thickBot="1">
      <c r="A48" s="6">
        <v>46</v>
      </c>
      <c r="B48" s="253"/>
      <c r="C48" s="100" t="s">
        <v>35</v>
      </c>
      <c r="D48" s="101" t="s">
        <v>241</v>
      </c>
      <c r="E48" s="102" t="s">
        <v>36</v>
      </c>
      <c r="F48" s="102" t="s">
        <v>36</v>
      </c>
      <c r="G48" s="103" t="s">
        <v>144</v>
      </c>
      <c r="H48" s="103"/>
      <c r="I48" s="104"/>
      <c r="J48" s="104" t="s">
        <v>40</v>
      </c>
      <c r="K48" s="104" t="s">
        <v>144</v>
      </c>
      <c r="L48" s="104" t="s">
        <v>22</v>
      </c>
      <c r="M48" s="105">
        <v>53</v>
      </c>
      <c r="N48" s="106">
        <f t="shared" si="0"/>
        <v>265</v>
      </c>
      <c r="O48" s="54">
        <f t="shared" si="1"/>
        <v>1060</v>
      </c>
      <c r="P48" s="103" t="s">
        <v>144</v>
      </c>
      <c r="Q48" s="104" t="s">
        <v>40</v>
      </c>
      <c r="R48" s="104" t="s">
        <v>144</v>
      </c>
      <c r="S48" s="104" t="s">
        <v>144</v>
      </c>
      <c r="T48" s="104" t="s">
        <v>144</v>
      </c>
      <c r="U48" s="107" t="s">
        <v>149</v>
      </c>
      <c r="V48" s="107"/>
      <c r="W48" s="108"/>
    </row>
    <row r="49" spans="1:23" ht="28.2" thickBot="1">
      <c r="A49" s="6">
        <v>47</v>
      </c>
      <c r="B49" s="259" t="s">
        <v>151</v>
      </c>
      <c r="C49" s="225" t="s">
        <v>249</v>
      </c>
      <c r="D49" s="226" t="s">
        <v>40</v>
      </c>
      <c r="E49" s="226" t="s">
        <v>40</v>
      </c>
      <c r="F49" s="226" t="s">
        <v>248</v>
      </c>
      <c r="G49" s="226" t="s">
        <v>144</v>
      </c>
      <c r="H49" s="226" t="s">
        <v>144</v>
      </c>
      <c r="I49" s="226" t="s">
        <v>144</v>
      </c>
      <c r="J49" s="226" t="s">
        <v>144</v>
      </c>
      <c r="K49" s="226" t="s">
        <v>144</v>
      </c>
      <c r="L49" s="226" t="s">
        <v>144</v>
      </c>
      <c r="M49" s="58">
        <v>1</v>
      </c>
      <c r="N49" s="36">
        <f>M49*5</f>
        <v>5</v>
      </c>
      <c r="O49" s="36">
        <f>M49*20</f>
        <v>20</v>
      </c>
      <c r="P49" s="227" t="s">
        <v>242</v>
      </c>
      <c r="Q49" s="228">
        <v>0.2</v>
      </c>
      <c r="R49" s="229">
        <f>Q49*N49</f>
        <v>1</v>
      </c>
      <c r="S49" s="228">
        <v>0.2</v>
      </c>
      <c r="T49" s="38">
        <f>S49*O49</f>
        <v>4</v>
      </c>
      <c r="U49" s="230"/>
      <c r="V49" s="230"/>
      <c r="W49" s="231"/>
    </row>
    <row r="50" spans="1:23" ht="15" thickBot="1">
      <c r="A50" s="237">
        <v>48</v>
      </c>
      <c r="B50" s="260"/>
      <c r="C50" s="118" t="s">
        <v>152</v>
      </c>
      <c r="D50" s="119" t="s">
        <v>40</v>
      </c>
      <c r="E50" s="119" t="s">
        <v>40</v>
      </c>
      <c r="F50" s="120" t="s">
        <v>152</v>
      </c>
      <c r="G50" s="119" t="s">
        <v>40</v>
      </c>
      <c r="H50" s="119" t="s">
        <v>40</v>
      </c>
      <c r="I50" s="119" t="s">
        <v>40</v>
      </c>
      <c r="J50" s="119" t="s">
        <v>40</v>
      </c>
      <c r="K50" s="119" t="s">
        <v>40</v>
      </c>
      <c r="L50" s="119" t="s">
        <v>22</v>
      </c>
      <c r="M50" s="111">
        <v>1</v>
      </c>
      <c r="N50" s="111">
        <f t="shared" ref="N50" si="4">M50*5</f>
        <v>5</v>
      </c>
      <c r="O50" s="54">
        <f t="shared" si="1"/>
        <v>20</v>
      </c>
      <c r="P50" s="126" t="s">
        <v>242</v>
      </c>
      <c r="Q50" s="112">
        <v>3.35</v>
      </c>
      <c r="R50" s="113">
        <f>Q50*N50</f>
        <v>16.75</v>
      </c>
      <c r="S50" s="113">
        <v>3.35</v>
      </c>
      <c r="T50" s="96">
        <f>S50*O50</f>
        <v>67</v>
      </c>
      <c r="U50" s="107" t="s">
        <v>149</v>
      </c>
      <c r="V50" s="107"/>
      <c r="W50" s="121"/>
    </row>
    <row r="51" spans="1:23" ht="15.6">
      <c r="A51" s="1"/>
      <c r="C51" s="21"/>
      <c r="D51" s="8"/>
      <c r="E51" s="7"/>
      <c r="G51" s="7"/>
      <c r="H51" s="7"/>
      <c r="I51" s="7"/>
      <c r="J51" s="7"/>
      <c r="K51" s="7"/>
      <c r="L51" s="7"/>
      <c r="M51" s="247" t="s">
        <v>37</v>
      </c>
      <c r="N51" s="248"/>
      <c r="O51" s="248"/>
      <c r="P51" s="248"/>
      <c r="Q51" s="18"/>
      <c r="R51" s="128">
        <f>SUM(R3:R50)</f>
        <v>332.08725999999996</v>
      </c>
      <c r="S51" s="128"/>
      <c r="T51" s="90">
        <f>SUM(T3:T50)</f>
        <v>1216.1183999999998</v>
      </c>
      <c r="U51" s="7"/>
      <c r="V51" s="7"/>
      <c r="W51" s="7"/>
    </row>
    <row r="52" spans="1:23" ht="16.2" thickBot="1">
      <c r="A52" s="1"/>
      <c r="C52" s="2"/>
      <c r="D52" s="2"/>
      <c r="G52" s="2"/>
      <c r="I52" s="2"/>
      <c r="K52" s="7"/>
      <c r="L52" s="7"/>
      <c r="M52" s="249" t="s">
        <v>38</v>
      </c>
      <c r="N52" s="250"/>
      <c r="O52" s="250"/>
      <c r="P52" s="250"/>
      <c r="Q52" s="29"/>
      <c r="R52" s="131">
        <f>R51/5</f>
        <v>66.417451999999997</v>
      </c>
      <c r="S52" s="131"/>
      <c r="T52" s="31">
        <f>T51/20</f>
        <v>60.805919999999993</v>
      </c>
      <c r="U52" s="7"/>
      <c r="V52" s="7"/>
      <c r="W52" s="7"/>
    </row>
    <row r="53" spans="1:23" ht="15.6">
      <c r="A53" s="1"/>
      <c r="C53" s="2"/>
      <c r="D53" s="2"/>
      <c r="G53" s="2"/>
      <c r="I53" s="2"/>
      <c r="K53" s="7"/>
      <c r="L53" s="7"/>
      <c r="M53" s="28"/>
      <c r="N53" s="238" t="s">
        <v>147</v>
      </c>
      <c r="O53" s="239"/>
      <c r="P53" s="240"/>
      <c r="Q53" s="127"/>
      <c r="R53" s="129">
        <v>3</v>
      </c>
      <c r="S53" s="129"/>
      <c r="T53" s="130">
        <v>3</v>
      </c>
      <c r="U53" s="7"/>
      <c r="V53" s="7"/>
      <c r="W53" s="7"/>
    </row>
    <row r="54" spans="1:23" ht="15.6">
      <c r="A54" s="1"/>
      <c r="C54" s="2"/>
      <c r="D54" s="2"/>
      <c r="G54" s="2"/>
      <c r="I54" s="2"/>
      <c r="K54" s="7"/>
      <c r="L54" s="7"/>
      <c r="M54" s="28"/>
      <c r="N54" s="256" t="s">
        <v>250</v>
      </c>
      <c r="O54" s="257"/>
      <c r="P54" s="258"/>
      <c r="Q54" s="125"/>
      <c r="R54" s="124">
        <v>22.78</v>
      </c>
      <c r="S54" s="124"/>
      <c r="T54" s="132">
        <v>90.99</v>
      </c>
      <c r="U54" s="7"/>
      <c r="V54" s="7"/>
      <c r="W54" s="7"/>
    </row>
    <row r="55" spans="1:23" ht="16.2" thickBot="1">
      <c r="A55" s="1"/>
      <c r="C55" s="2"/>
      <c r="D55" s="2"/>
      <c r="G55" s="2"/>
      <c r="I55" s="2"/>
      <c r="N55" s="241" t="s">
        <v>43</v>
      </c>
      <c r="O55" s="242"/>
      <c r="P55" s="243"/>
      <c r="Q55" s="29"/>
      <c r="R55" s="133">
        <f>SUM(R52:R54)</f>
        <v>92.197451999999998</v>
      </c>
      <c r="S55" s="133"/>
      <c r="T55" s="30">
        <f>SUM(T52:T54)</f>
        <v>154.79592</v>
      </c>
    </row>
    <row r="56" spans="1:23">
      <c r="A56" s="1"/>
      <c r="C56" s="2"/>
      <c r="D56" s="2"/>
      <c r="G56" s="2"/>
      <c r="I56" s="2"/>
      <c r="N56" s="17"/>
      <c r="O56" s="17"/>
    </row>
    <row r="57" spans="1:23">
      <c r="A57" s="1"/>
      <c r="C57" s="2"/>
      <c r="D57" s="2"/>
      <c r="G57" s="2"/>
      <c r="I57" s="2"/>
    </row>
    <row r="58" spans="1:23">
      <c r="A58" s="1"/>
      <c r="C58" s="2"/>
      <c r="D58" s="2"/>
      <c r="G58" s="2"/>
      <c r="I58" s="2"/>
    </row>
    <row r="59" spans="1:23">
      <c r="A59" s="1"/>
      <c r="C59" s="2"/>
      <c r="D59" s="2"/>
      <c r="G59" s="2"/>
      <c r="I59" s="2"/>
    </row>
    <row r="60" spans="1:23">
      <c r="A60" s="1"/>
    </row>
    <row r="61" spans="1:23" ht="15.75" customHeight="1">
      <c r="A61" s="1"/>
    </row>
    <row r="62" spans="1:23">
      <c r="A62" s="1"/>
    </row>
    <row r="63" spans="1:23">
      <c r="A63" s="1"/>
    </row>
    <row r="64" spans="1:23">
      <c r="A64" s="1"/>
    </row>
    <row r="65" spans="1:22">
      <c r="A65" s="1"/>
    </row>
    <row r="66" spans="1:22">
      <c r="A66" s="1"/>
    </row>
    <row r="67" spans="1:22">
      <c r="H67" s="9"/>
      <c r="U67" s="10"/>
      <c r="V67" s="10"/>
    </row>
    <row r="68" spans="1:22">
      <c r="H68" s="9"/>
      <c r="U68" s="10"/>
      <c r="V68" s="10"/>
    </row>
  </sheetData>
  <mergeCells count="14">
    <mergeCell ref="N53:P53"/>
    <mergeCell ref="N55:P55"/>
    <mergeCell ref="A1:W1"/>
    <mergeCell ref="M51:P51"/>
    <mergeCell ref="M52:P52"/>
    <mergeCell ref="B29:B33"/>
    <mergeCell ref="B34:B42"/>
    <mergeCell ref="B43:B48"/>
    <mergeCell ref="B26:B28"/>
    <mergeCell ref="B18:B19"/>
    <mergeCell ref="N54:P54"/>
    <mergeCell ref="B49:B50"/>
    <mergeCell ref="B3:B17"/>
    <mergeCell ref="B20:B23"/>
  </mergeCells>
  <phoneticPr fontId="14" type="noConversion"/>
  <conditionalFormatting sqref="U44:V44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M3:M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P10:P20 P22:P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R52:T54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M34:N48 O50 M9:M28 N3:O48 M49:O4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O49 O5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8:L4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conditionalFormatting sqref="M50:N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0:N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0:S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{19A41A86-C9BB-4A96-AA11-2BBEAF826782}</x14:id>
        </ext>
      </extLst>
    </cfRule>
  </conditionalFormatting>
  <conditionalFormatting sqref="T49:T50 R3:T4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hyperlinks>
    <hyperlink ref="P3" r:id="rId1" xr:uid="{00000000-0004-0000-0000-000000000000}"/>
    <hyperlink ref="P4" r:id="rId2" xr:uid="{00000000-0004-0000-0000-000001000000}"/>
    <hyperlink ref="P5" r:id="rId3" xr:uid="{00000000-0004-0000-0000-000002000000}"/>
    <hyperlink ref="P6" r:id="rId4" xr:uid="{00000000-0004-0000-0000-000003000000}"/>
    <hyperlink ref="P8" r:id="rId5" xr:uid="{00000000-0004-0000-0000-000004000000}"/>
    <hyperlink ref="P9" r:id="rId6" xr:uid="{00000000-0004-0000-0000-000005000000}"/>
    <hyperlink ref="P10" r:id="rId7" xr:uid="{00000000-0004-0000-0000-000006000000}"/>
    <hyperlink ref="P11" r:id="rId8" xr:uid="{00000000-0004-0000-0000-000007000000}"/>
    <hyperlink ref="P25" r:id="rId9" xr:uid="{00000000-0004-0000-0000-000008000000}"/>
    <hyperlink ref="P26" r:id="rId10" xr:uid="{00000000-0004-0000-0000-000009000000}"/>
    <hyperlink ref="P27" r:id="rId11" xr:uid="{00000000-0004-0000-0000-00000A000000}"/>
    <hyperlink ref="P29" r:id="rId12" xr:uid="{00000000-0004-0000-0000-00000B000000}"/>
    <hyperlink ref="P33" r:id="rId13" xr:uid="{00000000-0004-0000-0000-00000C000000}"/>
    <hyperlink ref="P35" r:id="rId14" xr:uid="{00000000-0004-0000-0000-00000E000000}"/>
    <hyperlink ref="P42" r:id="rId15" xr:uid="{00000000-0004-0000-0000-00000F000000}"/>
    <hyperlink ref="P43" r:id="rId16" xr:uid="{00000000-0004-0000-0000-000010000000}"/>
    <hyperlink ref="P45" r:id="rId17" xr:uid="{00000000-0004-0000-0000-000011000000}"/>
    <hyperlink ref="P24" r:id="rId18" display="Aliexpress" xr:uid="{00000000-0004-0000-0000-000012000000}"/>
    <hyperlink ref="P44" r:id="rId19" xr:uid="{00000000-0004-0000-0000-000013000000}"/>
    <hyperlink ref="P7" r:id="rId20" xr:uid="{00000000-0004-0000-0000-000014000000}"/>
    <hyperlink ref="P12" r:id="rId21" xr:uid="{00000000-0004-0000-0000-000015000000}"/>
    <hyperlink ref="P13" r:id="rId22" xr:uid="{00000000-0004-0000-0000-000016000000}"/>
    <hyperlink ref="P18" r:id="rId23" xr:uid="{00000000-0004-0000-0000-000017000000}"/>
    <hyperlink ref="P20" r:id="rId24" xr:uid="{00000000-0004-0000-0000-000018000000}"/>
    <hyperlink ref="P28" r:id="rId25" xr:uid="{00000000-0004-0000-0000-000019000000}"/>
    <hyperlink ref="P31" r:id="rId26" xr:uid="{00000000-0004-0000-0000-00001A000000}"/>
    <hyperlink ref="P38" r:id="rId27" xr:uid="{00000000-0004-0000-0000-00001B000000}"/>
    <hyperlink ref="P39" r:id="rId28" xr:uid="{00000000-0004-0000-0000-00001C000000}"/>
    <hyperlink ref="P14" r:id="rId29" xr:uid="{00000000-0004-0000-0000-00001D000000}"/>
    <hyperlink ref="P15" r:id="rId30" xr:uid="{00000000-0004-0000-0000-00001E000000}"/>
    <hyperlink ref="P32" r:id="rId31" xr:uid="{00000000-0004-0000-0000-000021000000}"/>
    <hyperlink ref="P50" r:id="rId32" xr:uid="{00000000-0004-0000-0000-000022000000}"/>
    <hyperlink ref="P49" r:id="rId33" xr:uid="{00000000-0004-0000-0000-000023000000}"/>
    <hyperlink ref="P16" r:id="rId34" xr:uid="{00000000-0004-0000-0000-000024000000}"/>
    <hyperlink ref="P17" r:id="rId35" xr:uid="{00000000-0004-0000-0000-000025000000}"/>
    <hyperlink ref="P30" r:id="rId36" xr:uid="{00000000-0004-0000-0000-000027000000}"/>
    <hyperlink ref="P46" r:id="rId37" xr:uid="{00000000-0004-0000-0000-000028000000}"/>
    <hyperlink ref="P41" r:id="rId38" xr:uid="{00000000-0004-0000-0000-000029000000}"/>
    <hyperlink ref="P47" r:id="rId39" xr:uid="{00000000-0004-0000-0000-00002A000000}"/>
    <hyperlink ref="P19" r:id="rId40" xr:uid="{00000000-0004-0000-0000-00002B000000}"/>
    <hyperlink ref="P40" r:id="rId41" xr:uid="{00000000-0004-0000-0000-00002C000000}"/>
    <hyperlink ref="P23" r:id="rId42" xr:uid="{00000000-0004-0000-0000-000026000000}"/>
    <hyperlink ref="P22" r:id="rId43" xr:uid="{00000000-0004-0000-0000-000020000000}"/>
    <hyperlink ref="P21" r:id="rId44" display="Aliexpress" xr:uid="{5AFB32F5-5BD1-454E-973A-39F7F52EDCE6}"/>
  </hyperlinks>
  <pageMargins left="0.75" right="0.75" top="1" bottom="1" header="0.5" footer="0.5"/>
  <pageSetup orientation="portrait" r:id="rId4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U44:V44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P10:P20 P22:P23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R52:T54</xm:sqref>
        </x14:conditionalFormatting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K48:L48</xm:sqref>
        </x14:conditionalFormatting>
        <x14:conditionalFormatting xmlns:xm="http://schemas.microsoft.com/office/excel/2006/main">
          <x14:cfRule type="dataBar" id="{19A41A86-C9BB-4A96-AA11-2BBEAF8267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R50:S50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T49:T50 R3:T48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Faizan Ur Rahman</cp:lastModifiedBy>
  <dcterms:created xsi:type="dcterms:W3CDTF">2021-10-16T12:34:00Z</dcterms:created>
  <dcterms:modified xsi:type="dcterms:W3CDTF">2022-06-07T16:38:40Z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