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BOM-V2.1-wo-Battery\"/>
    </mc:Choice>
  </mc:AlternateContent>
  <xr:revisionPtr revIDLastSave="0" documentId="13_ncr:1_{3DE3C29A-7330-440F-97E8-4D3A28C7604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0 Boards " sheetId="1" r:id="rId1"/>
    <sheet name="1K Boards" sheetId="2" r:id="rId2"/>
    <sheet name="5K Boards" sheetId="3" r:id="rId3"/>
  </sheets>
  <calcPr calcId="191029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10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10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1" i="1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2" i="1"/>
  <c r="Q43" i="1"/>
  <c r="Q44" i="1"/>
  <c r="Q45" i="1"/>
  <c r="Q46" i="1"/>
  <c r="Q47" i="1"/>
  <c r="Q48" i="1"/>
  <c r="Q49" i="1"/>
  <c r="Q50" i="1"/>
  <c r="Q51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2" i="1" l="1"/>
  <c r="Q53" i="1" s="1"/>
  <c r="Q52" i="2"/>
  <c r="Q53" i="2" s="1"/>
  <c r="Q52" i="3"/>
  <c r="Q53" i="3" s="1"/>
</calcChain>
</file>

<file path=xl/sharedStrings.xml><?xml version="1.0" encoding="utf-8"?>
<sst xmlns="http://schemas.openxmlformats.org/spreadsheetml/2006/main" count="1331" uniqueCount="276">
  <si>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</si>
  <si>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</si>
  <si>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</si>
  <si>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</si>
  <si>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</si>
  <si>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</si>
  <si>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</si>
  <si>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</si>
  <si>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</si>
  <si>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</si>
  <si>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</si>
  <si>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</si>
  <si>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</si>
  <si>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</si>
  <si>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</si>
  <si>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</si>
  <si>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</si>
  <si>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</si>
  <si>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</si>
  <si>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</si>
  <si>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</si>
  <si>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</si>
  <si>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</si>
  <si>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</si>
  <si>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</si>
  <si>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</si>
  <si>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</si>
  <si>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</si>
  <si>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</si>
  <si>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</si>
  <si>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</si>
  <si>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</si>
  <si>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</si>
  <si>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</si>
  <si>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</si>
  <si>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</si>
  <si>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</si>
  <si>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</si>
  <si>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</si>
  <si>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</si>
  <si>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</si>
  <si>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</si>
  <si>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</si>
  <si>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</si>
  <si>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</si>
  <si>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</si>
  <si>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</si>
  <si>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</si>
  <si>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</si>
  <si>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</si>
  <si>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</si>
  <si>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</si>
  <si>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</si>
  <si>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</si>
  <si>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</si>
  <si>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</si>
  <si>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</si>
  <si>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</si>
  <si>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</si>
  <si>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</si>
  <si>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</si>
  <si>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</si>
  <si>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</si>
  <si>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</si>
  <si>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</si>
  <si>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</si>
  <si>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</si>
  <si>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</si>
  <si>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</si>
  <si>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</si>
  <si>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</si>
  <si>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</si>
  <si>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</si>
  <si>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</si>
  <si>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</si>
  <si>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</si>
  <si>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</si>
  <si>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</si>
  <si>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</si>
  <si>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</si>
  <si>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</si>
  <si>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</si>
  <si>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</si>
  <si>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</si>
  <si>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</si>
  <si>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</si>
  <si>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</si>
  <si>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</si>
  <si>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</si>
  <si>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</si>
  <si>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</si>
  <si>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</si>
  <si>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</si>
  <si>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</si>
  <si>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</si>
  <si>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</si>
  <si>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</si>
  <si>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</si>
  <si>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</si>
  <si>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</si>
  <si>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</si>
  <si>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</si>
  <si>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</si>
  <si>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</si>
  <si>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</si>
  <si>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</si>
  <si>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</si>
  <si>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</si>
  <si>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</si>
  <si>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</si>
  <si>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</si>
  <si>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</si>
  <si>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</si>
  <si>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</si>
  <si>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</si>
  <si>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</si>
  <si>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</si>
  <si>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</si>
  <si>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</si>
  <si>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</si>
  <si>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</si>
  <si>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</si>
  <si>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</si>
  <si>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</si>
  <si>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</si>
  <si>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</si>
  <si>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</si>
  <si>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</si>
  <si>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</si>
  <si>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</si>
  <si>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</si>
  <si>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</si>
  <si>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</si>
  <si>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</si>
  <si>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</si>
  <si>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</si>
  <si>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</si>
  <si>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</si>
  <si>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</si>
  <si>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</si>
  <si>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</si>
  <si>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</si>
  <si>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</si>
  <si>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</si>
  <si>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</si>
  <si>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</si>
  <si>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</si>
  <si>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</si>
  <si>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</si>
  <si>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</si>
  <si>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</si>
  <si>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</si>
  <si>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</si>
  <si>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</si>
  <si>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</si>
  <si>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</si>
  <si>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</si>
  <si>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</si>
  <si>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</si>
  <si>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</si>
  <si>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</si>
  <si>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</si>
  <si>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</si>
  <si>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</si>
  <si>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</si>
  <si>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</si>
  <si>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</si>
  <si>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</si>
  <si>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</si>
  <si>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</si>
  <si>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</si>
  <si>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</si>
  <si>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</si>
  <si>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</si>
  <si>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</si>
  <si>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</si>
  <si>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</si>
  <si>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</si>
  <si>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</si>
  <si>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C326057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</si>
  <si>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</si>
  <si>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</si>
  <si>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</si>
  <si>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</si>
  <si>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</si>
  <si>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</si>
  <si>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</si>
  <si>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</si>
  <si>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</si>
  <si>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</si>
  <si>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</si>
  <si>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</si>
  <si>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</si>
  <si>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</si>
  <si>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</si>
  <si>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</si>
  <si>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</si>
  <si>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</si>
  <si>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</si>
  <si>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</si>
  <si>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</si>
  <si>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</si>
  <si>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</si>
  <si>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</si>
  <si>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</si>
  <si>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</si>
  <si>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</si>
  <si>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</si>
  <si>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</si>
  <si>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</si>
  <si>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</si>
  <si>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</si>
  <si>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</si>
  <si>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</si>
  <si>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</si>
  <si>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</si>
  <si>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</si>
  <si>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</si>
  <si>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</si>
  <si>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</si>
  <si>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</si>
  <si>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</si>
  <si>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</si>
  <si>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</si>
  <si>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</si>
  <si>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</si>
  <si>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</si>
  <si>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</si>
  <si>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</si>
  <si>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</si>
  <si>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</si>
  <si>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</si>
  <si>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</si>
  <si>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</si>
  <si>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</si>
  <si>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</si>
  <si>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</si>
  <si>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</si>
  <si>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C62892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</si>
  <si>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</si>
  <si>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</si>
  <si>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</si>
  <si>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</si>
  <si>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</si>
  <si>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</si>
  <si>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</si>
  <si>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</si>
  <si>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</si>
  <si>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</si>
  <si>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</si>
  <si>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</si>
  <si>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</si>
  <si>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</si>
  <si>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</si>
  <si>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</si>
  <si>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</si>
  <si>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</si>
  <si>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</si>
  <si>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</si>
  <si>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</si>
  <si>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</si>
  <si>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</si>
  <si>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</si>
  <si>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</si>
  <si>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C56, C57, C75, C96, C129, C131, C132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</si>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</sst>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402JRNPO9BN221_C107001.html" TargetMode="External"/><Relationship Id="rId18" Type="http://schemas.openxmlformats.org/officeDocument/2006/relationships/hyperlink" Target="https://www.lcsc.com/product-detail/Multilayer-Ceramic-Capacitors-MLCC-SMD-SMT_YAGEO-CC0603KRX7R8BB101_C519410.html" TargetMode="External"/><Relationship Id="rId26" Type="http://schemas.openxmlformats.org/officeDocument/2006/relationships/hyperlink" Target="https://www.lcsc.com/product-detail/Chip-Resistor-Surface-Mount_YAGEO-RC0603JR-074K7L_C105428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Multilayer-Ceramic-Capacitors-MLCC-SMD-SMT_Taiyo-Yuden-EMK212BB7106MG-T_C141287.html" TargetMode="External"/><Relationship Id="rId34" Type="http://schemas.openxmlformats.org/officeDocument/2006/relationships/hyperlink" Target="https://www.lcsc.com/product-detail/Multilayer-Ceramic-Capacitors-MLCC-SMD-SMT_TDK-C1608X5R1E106MT000E_C76614.html" TargetMode="External"/><Relationship Id="rId7" Type="http://schemas.openxmlformats.org/officeDocument/2006/relationships/hyperlink" Target="https://www.lcsc.com/product-detail/Analog-Front-End-AFEs_Texas-Instruments-PCM1865DBTR_C181312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Multilayer-Ceramic-Capacitors-MLCC-SMD-SMT_YAGEO-CC0402KRX5R8BB105_C326568.html" TargetMode="External"/><Relationship Id="rId25" Type="http://schemas.openxmlformats.org/officeDocument/2006/relationships/hyperlink" Target="https://www.lcsc.com/product-detail/Chip-Resistor-Surface-Mount_YAGEO-RC0603FR-070RL_C100044.html" TargetMode="External"/><Relationship Id="rId33" Type="http://schemas.openxmlformats.org/officeDocument/2006/relationships/hyperlink" Target="https://www.lcsc.com/product-detail/Multilayer-Ceramic-Capacitors-MLCC-SMD-SMT_Samsung-Electro-Mechanics-CL10B104KB8NNNC_C1591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JRNPO9BN100_C106245.html" TargetMode="External"/><Relationship Id="rId20" Type="http://schemas.openxmlformats.org/officeDocument/2006/relationships/hyperlink" Target="https://www.lcsc.com/product-detail/Multilayer-Ceramic-Capacitors-MLCC-SMD-SMT_YAGEO-CC0402KRX5R7BB104_C106204.html" TargetMode="External"/><Relationship Id="rId29" Type="http://schemas.openxmlformats.org/officeDocument/2006/relationships/hyperlink" Target="https://www.lcsc.com/product-detail/Precision-OpAmps_Texas-Instruments-OPA344NA-250_C13197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lcsc.com/product-detail/Digital-Transistors_Changjiang-Electronics-Tech-CJ-UMH3N_C62892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Chip-Resistor-Surface-Mount_YAGEO-RC0603FR-07300KL_C114667.html" TargetMode="External"/><Relationship Id="rId32" Type="http://schemas.openxmlformats.org/officeDocument/2006/relationships/hyperlink" Target="https://www.lcsc.com/product-detail/Crystals_JGHC-S3224576121060_C390772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80_C107040.html" TargetMode="External"/><Relationship Id="rId23" Type="http://schemas.openxmlformats.org/officeDocument/2006/relationships/hyperlink" Target="https://www.lcsc.com/product-detail/Pin-Headers_XFCN-PZ254V-11-05P_C492404.html" TargetMode="External"/><Relationship Id="rId28" Type="http://schemas.openxmlformats.org/officeDocument/2006/relationships/hyperlink" Target="https://www.lcsc.com/product-detail/Chip-Resistor-Surface-Mount_YAGEO-RC0603FR-0711K3L_C137803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lcsc.com/product-detail/Chip-Resistor-Surface-Mount_YAGEO-RC0603JR-075K1L_C14677.html" TargetMode="External"/><Relationship Id="rId19" Type="http://schemas.openxmlformats.org/officeDocument/2006/relationships/hyperlink" Target="https://www.lcsc.com/product-detail/Multilayer-Ceramic-Capacitors-MLCC-SMD-SMT_YAGEO-CC0603JRNPO9BN270_C107045.html" TargetMode="External"/><Relationship Id="rId31" Type="http://schemas.openxmlformats.org/officeDocument/2006/relationships/hyperlink" Target="https://www.lcsc.com/product-detail/Crystals_JYJE-3TJ481920NYLBC_C2898996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WiFi-Modules_Espressif-Systems-ESP32-WROVER-E-N8R8_C2973667.html" TargetMode="External"/><Relationship Id="rId14" Type="http://schemas.openxmlformats.org/officeDocument/2006/relationships/hyperlink" Target="https://www.lcsc.com/product-detail/Multilayer-Ceramic-Capacitors-MLCC-SMD-SMT_Taiyo-Yuden-UMK107C7224KAHTE_C386159.html" TargetMode="External"/><Relationship Id="rId22" Type="http://schemas.openxmlformats.org/officeDocument/2006/relationships/hyperlink" Target="https://www.lcsc.com/product-detail/Multilayer-Ceramic-Capacitors-MLCC-SMD-SMT_YAGEO-CC0603KRX5R6BB106_C326057.html" TargetMode="External"/><Relationship Id="rId27" Type="http://schemas.openxmlformats.org/officeDocument/2006/relationships/hyperlink" Target="https://www.lcsc.com/product-detail/Chip-Resistor-Surface-Mount_YAGEO-RC0402FR-0710KL_C60490.html" TargetMode="External"/><Relationship Id="rId30" Type="http://schemas.openxmlformats.org/officeDocument/2006/relationships/hyperlink" Target="https://www.lcsc.com/product-detail/Linear-Voltage-Regulators-LDO_Torex-Semicon-XC6220B331MR-G_C86534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Chip-Resistor-Surface-Mount_FH-Guangdong-Fenghua-Advanced-Tech-RS-03K104JT_C7380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Multilayer-Ceramic-Capacitors-MLCC-SMD-SMT_YAGEO-CC0603KRX5R6BB106_C326057.html" TargetMode="External"/><Relationship Id="rId29" Type="http://schemas.openxmlformats.org/officeDocument/2006/relationships/hyperlink" Target="https://www.lcsc.com/product-detail/Crystals_JGHC-S3224576121060_C390772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Crystals_JYJE-3TJ481920NYLBC_C2898996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Linear-Voltage-Regulators-LDO_Torex-Semicon-XC6220B331MR-G_C8653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Relationship Id="rId8" Type="http://schemas.openxmlformats.org/officeDocument/2006/relationships/hyperlink" Target="https://lcsc.com/product-detail/Chip-Resistor-Surface-Mount_YAGEO-RC0603JR-075K1L_C1467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YAGEO-CC0603KRX5R6BB106_C326057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3"/>
  <sheetViews>
    <sheetView topLeftCell="D40" zoomScale="85" zoomScaleNormal="85" workbookViewId="0">
      <selection activeCell="Q53" sqref="Q5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0" t="s">
        <v>204</v>
      </c>
      <c r="M9" s="30" t="s">
        <v>223</v>
      </c>
      <c r="N9" s="31" t="s">
        <v>224</v>
      </c>
      <c r="O9" s="30" t="s">
        <v>216</v>
      </c>
      <c r="P9" s="31" t="s">
        <v>225</v>
      </c>
      <c r="Q9" s="30" t="s">
        <v>226</v>
      </c>
      <c r="R9" s="31" t="s">
        <v>219</v>
      </c>
      <c r="S9" s="30" t="s">
        <v>220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L10*20</f>
        <v>400</v>
      </c>
      <c r="N10" s="61">
        <v>450</v>
      </c>
      <c r="O10" s="69" t="s">
        <v>227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45">
        <f t="shared" ref="M11:M51" si="1">L11*20</f>
        <v>20</v>
      </c>
      <c r="N11" s="45">
        <v>40</v>
      </c>
      <c r="O11" s="62" t="s">
        <v>227</v>
      </c>
      <c r="P11" s="47">
        <v>1.7399999999999999E-2</v>
      </c>
      <c r="Q11" s="47">
        <f t="shared" ref="Q11:Q51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/>
      <c r="J12" s="61" t="s">
        <v>176</v>
      </c>
      <c r="K12" s="68" t="s">
        <v>187</v>
      </c>
      <c r="L12" s="61">
        <v>43</v>
      </c>
      <c r="M12" s="61">
        <f>L12*20</f>
        <v>860</v>
      </c>
      <c r="N12" s="61">
        <v>900</v>
      </c>
      <c r="O12" s="69" t="s">
        <v>227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45">
        <f t="shared" si="1"/>
        <v>240</v>
      </c>
      <c r="N13" s="45">
        <v>300</v>
      </c>
      <c r="O13" s="62" t="s">
        <v>227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55</v>
      </c>
      <c r="F14" s="61" t="s">
        <v>98</v>
      </c>
      <c r="G14" s="67" t="s">
        <v>128</v>
      </c>
      <c r="H14" s="61" t="s">
        <v>157</v>
      </c>
      <c r="I14" s="61" t="s">
        <v>229</v>
      </c>
      <c r="J14" s="61" t="s">
        <v>174</v>
      </c>
      <c r="K14" s="68" t="s">
        <v>189</v>
      </c>
      <c r="L14" s="61">
        <v>2</v>
      </c>
      <c r="M14" s="61">
        <f t="shared" si="1"/>
        <v>40</v>
      </c>
      <c r="N14" s="61">
        <v>45</v>
      </c>
      <c r="O14" s="69" t="s">
        <v>227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45">
        <f t="shared" si="1"/>
        <v>320</v>
      </c>
      <c r="N15" s="45">
        <v>400</v>
      </c>
      <c r="O15" s="62" t="s">
        <v>227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1">
        <f t="shared" si="1"/>
        <v>20</v>
      </c>
      <c r="N16" s="61">
        <v>30</v>
      </c>
      <c r="O16" s="69" t="s">
        <v>227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58</v>
      </c>
      <c r="F17" s="45" t="s">
        <v>96</v>
      </c>
      <c r="G17" s="46" t="s">
        <v>131</v>
      </c>
      <c r="H17" s="45" t="s">
        <v>155</v>
      </c>
      <c r="I17" s="45" t="s">
        <v>229</v>
      </c>
      <c r="J17" s="45" t="s">
        <v>252</v>
      </c>
      <c r="K17" s="58" t="s">
        <v>192</v>
      </c>
      <c r="L17" s="59">
        <v>6</v>
      </c>
      <c r="M17" s="45">
        <f t="shared" si="1"/>
        <v>120</v>
      </c>
      <c r="N17" s="45">
        <v>200</v>
      </c>
      <c r="O17" s="62" t="s">
        <v>227</v>
      </c>
      <c r="P17" s="47">
        <v>2.7000000000000001E-3</v>
      </c>
      <c r="Q17" s="47">
        <f t="shared" si="2"/>
        <v>0.54</v>
      </c>
      <c r="R17" s="46"/>
      <c r="S17" s="47"/>
    </row>
    <row r="18" spans="1:19" ht="15.75" thickBot="1" x14ac:dyDescent="0.3">
      <c r="A18" s="1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1">
        <f>L18*20</f>
        <v>140</v>
      </c>
      <c r="N18" s="61">
        <v>160</v>
      </c>
      <c r="O18" s="69" t="s">
        <v>227</v>
      </c>
      <c r="P18" s="70">
        <v>2.46E-2</v>
      </c>
      <c r="Q18" s="70">
        <f>P18*N18</f>
        <v>3.9359999999999999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60</v>
      </c>
      <c r="F19" s="45" t="s">
        <v>95</v>
      </c>
      <c r="G19" s="46" t="s">
        <v>132</v>
      </c>
      <c r="H19" s="45" t="s">
        <v>155</v>
      </c>
      <c r="I19" s="45" t="s">
        <v>229</v>
      </c>
      <c r="J19" s="45" t="s">
        <v>175</v>
      </c>
      <c r="K19" s="58" t="s">
        <v>194</v>
      </c>
      <c r="L19" s="59">
        <v>4</v>
      </c>
      <c r="M19" s="45">
        <f t="shared" si="1"/>
        <v>80</v>
      </c>
      <c r="N19" s="45">
        <v>100</v>
      </c>
      <c r="O19" s="62" t="s">
        <v>227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1">
        <f t="shared" si="1"/>
        <v>20</v>
      </c>
      <c r="N20" s="61">
        <v>100</v>
      </c>
      <c r="O20" s="69" t="s">
        <v>227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63</v>
      </c>
      <c r="F21" s="45" t="s">
        <v>95</v>
      </c>
      <c r="G21" s="46" t="s">
        <v>135</v>
      </c>
      <c r="H21" s="45" t="s">
        <v>155</v>
      </c>
      <c r="I21" s="45" t="s">
        <v>229</v>
      </c>
      <c r="J21" s="45" t="s">
        <v>177</v>
      </c>
      <c r="K21" s="58" t="s">
        <v>196</v>
      </c>
      <c r="L21" s="59">
        <v>8</v>
      </c>
      <c r="M21" s="45">
        <f t="shared" si="1"/>
        <v>160</v>
      </c>
      <c r="N21" s="45">
        <v>200</v>
      </c>
      <c r="O21" s="62" t="s">
        <v>227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1">
        <f t="shared" si="1"/>
        <v>160</v>
      </c>
      <c r="N22" s="61">
        <v>200</v>
      </c>
      <c r="O22" s="69" t="s">
        <v>227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65</v>
      </c>
      <c r="F23" s="45" t="s">
        <v>100</v>
      </c>
      <c r="G23" s="46" t="s">
        <v>138</v>
      </c>
      <c r="H23" s="45" t="s">
        <v>158</v>
      </c>
      <c r="I23" s="45" t="s">
        <v>229</v>
      </c>
      <c r="J23" s="45" t="s">
        <v>254</v>
      </c>
      <c r="K23" s="58" t="s">
        <v>193</v>
      </c>
      <c r="L23" s="59">
        <v>8</v>
      </c>
      <c r="M23" s="45">
        <f t="shared" si="1"/>
        <v>160</v>
      </c>
      <c r="N23" s="45">
        <v>170</v>
      </c>
      <c r="O23" s="62" t="s">
        <v>227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15.75" thickBot="1" x14ac:dyDescent="0.3">
      <c r="A24" s="1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1">
        <f t="shared" si="1"/>
        <v>80</v>
      </c>
      <c r="N24" s="61">
        <v>100</v>
      </c>
      <c r="O24" s="69" t="s">
        <v>227</v>
      </c>
      <c r="P24" s="70">
        <v>2.4299999999999999E-2</v>
      </c>
      <c r="Q24" s="70">
        <f t="shared" si="2"/>
        <v>2.4299999999999997</v>
      </c>
      <c r="R24" s="67"/>
      <c r="S24" s="70"/>
    </row>
    <row r="25" spans="1:19" ht="24.75" thickBot="1" x14ac:dyDescent="0.3">
      <c r="A25" s="1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45">
        <f t="shared" si="1"/>
        <v>20</v>
      </c>
      <c r="N25" s="45">
        <v>30</v>
      </c>
      <c r="O25" s="62" t="s">
        <v>227</v>
      </c>
      <c r="P25" s="47">
        <v>3.9800000000000002E-2</v>
      </c>
      <c r="Q25" s="47">
        <f t="shared" si="2"/>
        <v>1.194</v>
      </c>
      <c r="R25" s="46"/>
      <c r="S25" s="47"/>
    </row>
    <row r="26" spans="1:19" ht="24.75" thickBot="1" x14ac:dyDescent="0.3">
      <c r="A26" s="1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1">
        <f t="shared" si="1"/>
        <v>20</v>
      </c>
      <c r="N26" s="61">
        <v>30</v>
      </c>
      <c r="O26" s="69" t="s">
        <v>227</v>
      </c>
      <c r="P26" s="70">
        <v>3.1800000000000002E-2</v>
      </c>
      <c r="Q26" s="70">
        <f t="shared" si="2"/>
        <v>0.95400000000000007</v>
      </c>
      <c r="R26" s="67"/>
      <c r="S26" s="70"/>
    </row>
    <row r="27" spans="1:19" ht="15.75" thickBot="1" x14ac:dyDescent="0.3">
      <c r="A27" s="1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45">
        <f t="shared" si="1"/>
        <v>20</v>
      </c>
      <c r="N27" s="45">
        <v>40</v>
      </c>
      <c r="O27" s="62" t="s">
        <v>227</v>
      </c>
      <c r="P27" s="47">
        <v>2.3699999999999999E-2</v>
      </c>
      <c r="Q27" s="47">
        <f t="shared" si="2"/>
        <v>0.94799999999999995</v>
      </c>
      <c r="R27" s="46"/>
      <c r="S27" s="47"/>
    </row>
    <row r="28" spans="1:19" ht="36.75" thickBot="1" x14ac:dyDescent="0.3">
      <c r="A28" s="1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1">
        <f t="shared" si="1"/>
        <v>20</v>
      </c>
      <c r="N28" s="61">
        <v>30</v>
      </c>
      <c r="O28" s="69" t="s">
        <v>227</v>
      </c>
      <c r="P28" s="70">
        <v>5.5599999999999997E-2</v>
      </c>
      <c r="Q28" s="70">
        <f t="shared" si="2"/>
        <v>1.6679999999999999</v>
      </c>
      <c r="R28" s="67"/>
      <c r="S28" s="70"/>
    </row>
    <row r="29" spans="1:19" ht="24.75" thickBot="1" x14ac:dyDescent="0.3">
      <c r="A29" s="1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45">
        <f t="shared" si="1"/>
        <v>160</v>
      </c>
      <c r="N29" s="45">
        <v>180</v>
      </c>
      <c r="O29" s="62" t="s">
        <v>235</v>
      </c>
      <c r="P29" s="47">
        <v>2</v>
      </c>
      <c r="Q29" s="47">
        <f t="shared" si="2"/>
        <v>360</v>
      </c>
      <c r="R29" s="46"/>
      <c r="S29" s="47"/>
    </row>
    <row r="30" spans="1:19" ht="15.75" thickBot="1" x14ac:dyDescent="0.3">
      <c r="A30" s="1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/>
      <c r="J30" s="61"/>
      <c r="K30" s="68" t="s">
        <v>229</v>
      </c>
      <c r="L30" s="61">
        <v>4</v>
      </c>
      <c r="M30" s="61">
        <f t="shared" si="1"/>
        <v>80</v>
      </c>
      <c r="N30" s="61"/>
      <c r="O30" s="69"/>
      <c r="P30" s="70"/>
      <c r="Q30" s="70">
        <f t="shared" si="2"/>
        <v>0</v>
      </c>
      <c r="R30" s="67"/>
      <c r="S30" s="70"/>
    </row>
    <row r="31" spans="1:19" ht="15.75" thickBot="1" x14ac:dyDescent="0.3">
      <c r="A31" s="1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45">
        <f t="shared" si="1"/>
        <v>20</v>
      </c>
      <c r="N31" s="45">
        <v>40</v>
      </c>
      <c r="O31" s="62" t="s">
        <v>227</v>
      </c>
      <c r="P31" s="47">
        <v>2.7300000000000001E-2</v>
      </c>
      <c r="Q31" s="47">
        <f t="shared" si="2"/>
        <v>1.0920000000000001</v>
      </c>
      <c r="R31" s="46"/>
      <c r="S31" s="47"/>
    </row>
    <row r="32" spans="1:19" ht="15.75" thickBot="1" x14ac:dyDescent="0.3">
      <c r="A32" s="1"/>
      <c r="B32" s="37">
        <f>ROW(B32) - ROW($B$9)</f>
        <v>23</v>
      </c>
      <c r="C32" s="53" t="s">
        <v>207</v>
      </c>
      <c r="D32" s="71" t="s">
        <v>32</v>
      </c>
      <c r="E32" s="67" t="s">
        <v>74</v>
      </c>
      <c r="F32" s="61" t="s">
        <v>234</v>
      </c>
      <c r="G32" s="67" t="s">
        <v>108</v>
      </c>
      <c r="H32" s="61" t="s">
        <v>229</v>
      </c>
      <c r="I32" s="61" t="s">
        <v>229</v>
      </c>
      <c r="J32" s="61" t="s">
        <v>229</v>
      </c>
      <c r="K32" s="68" t="s">
        <v>229</v>
      </c>
      <c r="L32" s="61">
        <v>5</v>
      </c>
      <c r="M32" s="61">
        <f t="shared" si="1"/>
        <v>100</v>
      </c>
      <c r="N32" s="61" t="s">
        <v>229</v>
      </c>
      <c r="O32" s="69" t="s">
        <v>229</v>
      </c>
      <c r="P32" s="70" t="s">
        <v>229</v>
      </c>
      <c r="Q32" s="70" t="s">
        <v>229</v>
      </c>
      <c r="R32" s="67"/>
      <c r="S32" s="70"/>
    </row>
    <row r="33" spans="1:19" ht="15.75" thickBot="1" x14ac:dyDescent="0.3">
      <c r="A33" s="1"/>
      <c r="B33" s="65">
        <f t="shared" si="0"/>
        <v>24</v>
      </c>
      <c r="C33" s="76" t="s">
        <v>208</v>
      </c>
      <c r="D33" s="77" t="s">
        <v>33</v>
      </c>
      <c r="E33" s="78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81">
        <v>3</v>
      </c>
      <c r="M33" s="78">
        <f t="shared" si="1"/>
        <v>60</v>
      </c>
      <c r="N33" s="78">
        <v>100</v>
      </c>
      <c r="O33" s="82" t="s">
        <v>227</v>
      </c>
      <c r="P33" s="83">
        <v>6.9999999999999999E-4</v>
      </c>
      <c r="Q33" s="83">
        <f t="shared" si="2"/>
        <v>6.9999999999999993E-2</v>
      </c>
      <c r="R33" s="79"/>
      <c r="S33" s="83"/>
    </row>
    <row r="34" spans="1:19" ht="15.75" thickBot="1" x14ac:dyDescent="0.3">
      <c r="A34" s="1"/>
      <c r="B34" s="37">
        <f>ROW(B34) - ROW($B$9)</f>
        <v>25</v>
      </c>
      <c r="C34" s="53" t="s">
        <v>208</v>
      </c>
      <c r="D34" s="71" t="s">
        <v>34</v>
      </c>
      <c r="E34" s="67" t="s">
        <v>76</v>
      </c>
      <c r="F34" s="61" t="s">
        <v>110</v>
      </c>
      <c r="G34" s="67" t="s">
        <v>143</v>
      </c>
      <c r="H34" s="61" t="s">
        <v>155</v>
      </c>
      <c r="I34" s="61" t="s">
        <v>229</v>
      </c>
      <c r="J34" s="61" t="s">
        <v>255</v>
      </c>
      <c r="K34" s="68" t="s">
        <v>198</v>
      </c>
      <c r="L34" s="61">
        <v>8</v>
      </c>
      <c r="M34" s="61">
        <f t="shared" si="1"/>
        <v>160</v>
      </c>
      <c r="N34" s="61">
        <v>200</v>
      </c>
      <c r="O34" s="69" t="s">
        <v>227</v>
      </c>
      <c r="P34" s="70">
        <v>1.1000000000000001E-3</v>
      </c>
      <c r="Q34" s="70">
        <f t="shared" si="2"/>
        <v>0.22</v>
      </c>
      <c r="R34" s="67"/>
      <c r="S34" s="70"/>
    </row>
    <row r="35" spans="1:19" ht="15.75" thickBot="1" x14ac:dyDescent="0.3">
      <c r="A35" s="1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45">
        <f t="shared" si="1"/>
        <v>60</v>
      </c>
      <c r="N35" s="45">
        <v>100</v>
      </c>
      <c r="O35" s="62" t="s">
        <v>227</v>
      </c>
      <c r="P35" s="47">
        <v>1E-3</v>
      </c>
      <c r="Q35" s="47">
        <f t="shared" si="2"/>
        <v>0.1</v>
      </c>
      <c r="R35" s="46"/>
      <c r="S35" s="47"/>
    </row>
    <row r="36" spans="1:19" ht="24.75" thickBot="1" x14ac:dyDescent="0.3">
      <c r="A36" s="1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1">
        <f t="shared" si="1"/>
        <v>200</v>
      </c>
      <c r="N36" s="61">
        <v>300</v>
      </c>
      <c r="O36" s="69" t="s">
        <v>227</v>
      </c>
      <c r="P36" s="70">
        <v>8.9999999999999998E-4</v>
      </c>
      <c r="Q36" s="70">
        <f t="shared" si="2"/>
        <v>0.27</v>
      </c>
      <c r="R36" s="67"/>
      <c r="S36" s="70"/>
    </row>
    <row r="37" spans="1:19" ht="15.75" thickBot="1" x14ac:dyDescent="0.3">
      <c r="A37" s="1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45">
        <f t="shared" si="1"/>
        <v>40</v>
      </c>
      <c r="N37" s="45">
        <v>100</v>
      </c>
      <c r="O37" s="62" t="s">
        <v>227</v>
      </c>
      <c r="P37" s="47">
        <v>1E-3</v>
      </c>
      <c r="Q37" s="47">
        <f t="shared" si="2"/>
        <v>0.1</v>
      </c>
      <c r="R37" s="46"/>
      <c r="S37" s="47"/>
    </row>
    <row r="38" spans="1:19" ht="36.75" thickBot="1" x14ac:dyDescent="0.3">
      <c r="A38" s="1"/>
      <c r="B38" s="37">
        <f>ROW(B38) - ROW($B$9)</f>
        <v>29</v>
      </c>
      <c r="C38" s="53" t="s">
        <v>208</v>
      </c>
      <c r="D38" s="71" t="s">
        <v>265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17</v>
      </c>
      <c r="M38" s="61">
        <f t="shared" si="1"/>
        <v>340</v>
      </c>
      <c r="N38" s="61">
        <v>400</v>
      </c>
      <c r="O38" s="69" t="s">
        <v>227</v>
      </c>
      <c r="P38" s="70">
        <v>5.9999999999999995E-4</v>
      </c>
      <c r="Q38" s="70">
        <f t="shared" si="2"/>
        <v>0.24</v>
      </c>
      <c r="R38" s="67"/>
      <c r="S38" s="70"/>
    </row>
    <row r="39" spans="1:19" ht="15.75" thickBot="1" x14ac:dyDescent="0.3">
      <c r="A39" s="1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45">
        <f t="shared" si="1"/>
        <v>80</v>
      </c>
      <c r="N39" s="45">
        <v>100</v>
      </c>
      <c r="O39" s="62" t="s">
        <v>227</v>
      </c>
      <c r="P39" s="47">
        <v>1.2999999999999999E-3</v>
      </c>
      <c r="Q39" s="47">
        <f t="shared" si="2"/>
        <v>0.13</v>
      </c>
      <c r="R39" s="46"/>
      <c r="S39" s="47"/>
    </row>
    <row r="40" spans="1:19" s="64" customFormat="1" ht="256.5" customHeight="1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2120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/>
      <c r="S40" s="94"/>
    </row>
    <row r="41" spans="1:19" ht="36.75" thickBot="1" x14ac:dyDescent="0.3">
      <c r="A41" s="1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45">
        <f t="shared" si="1"/>
        <v>20</v>
      </c>
      <c r="N41" s="45">
        <v>22</v>
      </c>
      <c r="O41" s="62" t="s">
        <v>235</v>
      </c>
      <c r="P41" s="47">
        <v>5.8200000000000002E-2</v>
      </c>
      <c r="Q41" s="47">
        <f t="shared" si="2"/>
        <v>1.2804</v>
      </c>
      <c r="R41" s="89" t="s">
        <v>275</v>
      </c>
      <c r="S41" s="47"/>
    </row>
    <row r="42" spans="1:19" ht="15.75" thickBot="1" x14ac:dyDescent="0.3">
      <c r="A42" s="1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1">
        <f t="shared" si="1"/>
        <v>20</v>
      </c>
      <c r="N42" s="61">
        <v>22</v>
      </c>
      <c r="O42" s="69" t="s">
        <v>227</v>
      </c>
      <c r="P42" s="70">
        <v>3.99</v>
      </c>
      <c r="Q42" s="70">
        <f t="shared" si="2"/>
        <v>87.78</v>
      </c>
      <c r="R42" s="67"/>
      <c r="S42" s="70"/>
    </row>
    <row r="43" spans="1:19" ht="15.75" thickBot="1" x14ac:dyDescent="0.3">
      <c r="A43" s="1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45">
        <f t="shared" si="1"/>
        <v>160</v>
      </c>
      <c r="N43" s="45">
        <v>165</v>
      </c>
      <c r="O43" s="62" t="s">
        <v>227</v>
      </c>
      <c r="P43" s="47">
        <v>3.6194000000000002</v>
      </c>
      <c r="Q43" s="47">
        <f t="shared" si="2"/>
        <v>597.20100000000002</v>
      </c>
      <c r="R43" s="46"/>
      <c r="S43" s="47"/>
    </row>
    <row r="44" spans="1:19" ht="24.75" thickBot="1" x14ac:dyDescent="0.3">
      <c r="A44" s="1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1">
        <f t="shared" si="1"/>
        <v>20</v>
      </c>
      <c r="N44" s="61">
        <v>22</v>
      </c>
      <c r="O44" s="69" t="s">
        <v>227</v>
      </c>
      <c r="P44" s="70">
        <v>0.42</v>
      </c>
      <c r="Q44" s="70">
        <f t="shared" si="2"/>
        <v>9.24</v>
      </c>
      <c r="R44" s="67"/>
      <c r="S44" s="70"/>
    </row>
    <row r="45" spans="1:19" ht="24.75" thickBot="1" x14ac:dyDescent="0.3">
      <c r="A45" s="1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/>
      <c r="J45" s="45"/>
      <c r="K45" s="58" t="s">
        <v>229</v>
      </c>
      <c r="L45" s="59">
        <v>1</v>
      </c>
      <c r="M45" s="45">
        <f t="shared" si="1"/>
        <v>20</v>
      </c>
      <c r="N45" s="45">
        <v>22</v>
      </c>
      <c r="O45" s="62" t="s">
        <v>235</v>
      </c>
      <c r="P45" s="47">
        <v>12.6</v>
      </c>
      <c r="Q45" s="47">
        <f t="shared" si="2"/>
        <v>277.2</v>
      </c>
      <c r="R45" s="89" t="s">
        <v>275</v>
      </c>
      <c r="S45" s="47"/>
    </row>
    <row r="46" spans="1:19" ht="15.75" thickBot="1" x14ac:dyDescent="0.3">
      <c r="A46" s="1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1">
        <f t="shared" si="1"/>
        <v>40</v>
      </c>
      <c r="N46" s="61">
        <v>42</v>
      </c>
      <c r="O46" s="69" t="s">
        <v>227</v>
      </c>
      <c r="P46" s="70">
        <v>3.2374999999999998</v>
      </c>
      <c r="Q46" s="70">
        <f t="shared" si="2"/>
        <v>135.97499999999999</v>
      </c>
      <c r="R46" s="67"/>
      <c r="S46" s="70"/>
    </row>
    <row r="47" spans="1:19" ht="36.75" thickBot="1" x14ac:dyDescent="0.3">
      <c r="A47" s="1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238</v>
      </c>
      <c r="K47" s="58" t="s">
        <v>229</v>
      </c>
      <c r="L47" s="59">
        <v>1</v>
      </c>
      <c r="M47" s="45">
        <f t="shared" si="1"/>
        <v>20</v>
      </c>
      <c r="N47" s="45">
        <v>30</v>
      </c>
      <c r="O47" s="62" t="s">
        <v>227</v>
      </c>
      <c r="P47" s="47">
        <v>5.5800000000000002E-2</v>
      </c>
      <c r="Q47" s="47">
        <f t="shared" si="2"/>
        <v>1.6740000000000002</v>
      </c>
      <c r="R47" s="46"/>
      <c r="S47" s="47"/>
    </row>
    <row r="48" spans="1:19" ht="15.75" thickBot="1" x14ac:dyDescent="0.3">
      <c r="A48" s="1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1">
        <f t="shared" si="1"/>
        <v>20</v>
      </c>
      <c r="N48" s="61">
        <v>22</v>
      </c>
      <c r="O48" s="69"/>
      <c r="P48" s="70"/>
      <c r="Q48" s="70">
        <f t="shared" si="2"/>
        <v>0</v>
      </c>
      <c r="R48" s="67"/>
      <c r="S48" s="70"/>
    </row>
    <row r="49" spans="1:19" ht="15.75" thickBot="1" x14ac:dyDescent="0.3">
      <c r="A49" s="1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45">
        <f t="shared" si="1"/>
        <v>80</v>
      </c>
      <c r="N49" s="45">
        <v>82</v>
      </c>
      <c r="O49" s="62"/>
      <c r="P49" s="47"/>
      <c r="Q49" s="47">
        <f t="shared" si="2"/>
        <v>0</v>
      </c>
      <c r="R49" s="46"/>
      <c r="S49" s="47"/>
    </row>
    <row r="50" spans="1:19" ht="36.75" thickBot="1" x14ac:dyDescent="0.3">
      <c r="A50" s="1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1">
        <f t="shared" si="1"/>
        <v>20</v>
      </c>
      <c r="N50" s="61">
        <v>22</v>
      </c>
      <c r="O50" s="69" t="s">
        <v>227</v>
      </c>
      <c r="P50" s="70">
        <v>0.15179999999999999</v>
      </c>
      <c r="Q50" s="70">
        <f t="shared" si="2"/>
        <v>3.3395999999999999</v>
      </c>
      <c r="R50" s="67"/>
      <c r="S50" s="70"/>
    </row>
    <row r="51" spans="1:19" ht="36.75" thickBot="1" x14ac:dyDescent="0.3">
      <c r="A51" s="1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45">
        <f t="shared" si="1"/>
        <v>40</v>
      </c>
      <c r="N51" s="45">
        <v>45</v>
      </c>
      <c r="O51" s="62" t="s">
        <v>227</v>
      </c>
      <c r="P51" s="47">
        <v>7.4099999999999999E-2</v>
      </c>
      <c r="Q51" s="47">
        <f t="shared" si="2"/>
        <v>3.3344999999999998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1591.529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Q52/20</f>
        <v>79.576449999999994</v>
      </c>
      <c r="R53" s="102"/>
      <c r="S53" s="103"/>
    </row>
  </sheetData>
  <mergeCells count="5">
    <mergeCell ref="K1:S1"/>
    <mergeCell ref="S3:S8"/>
    <mergeCell ref="R52:S53"/>
    <mergeCell ref="N52:P52"/>
    <mergeCell ref="N53:P53"/>
  </mergeCells>
  <hyperlinks>
    <hyperlink ref="O14" r:id="rId1" xr:uid="{736BD189-760A-4B09-A3F6-F664DCC7E819}"/>
    <hyperlink ref="O25" r:id="rId2" xr:uid="{1F81CF20-471E-4E25-91A1-ACADE372D7F1}"/>
    <hyperlink ref="O26" r:id="rId3" xr:uid="{1FFF2F14-D016-403D-B7DE-3461C5CEE3CC}"/>
    <hyperlink ref="O28" r:id="rId4" xr:uid="{A67D8B75-ADCA-454A-90A2-7B3827ED99FF}"/>
    <hyperlink ref="O31" r:id="rId5" xr:uid="{2156ACCA-5D51-4A13-B679-1A5F84AF210C}"/>
    <hyperlink ref="O47" r:id="rId6" xr:uid="{F4AF2DE2-2F5A-4F8F-AE3B-B74333079DBA}"/>
    <hyperlink ref="O46" r:id="rId7" xr:uid="{E3681D50-BCF6-45BF-92E2-FA79AE9F7F63}"/>
    <hyperlink ref="O33" r:id="rId8" xr:uid="{708B72BB-8155-435C-A98A-443BAD0793CE}"/>
    <hyperlink ref="O42" r:id="rId9" xr:uid="{5A47B33C-2078-42A0-97CB-FDA2AEFAD03A}"/>
    <hyperlink ref="O37" r:id="rId10" xr:uid="{69A12946-F47E-4DFE-985E-8D4693A7CC10}"/>
    <hyperlink ref="O10" r:id="rId11" xr:uid="{8FDB36E3-3359-4086-A00B-9B44E30AE660}"/>
    <hyperlink ref="O11" r:id="rId12" xr:uid="{3348A2EA-3BD0-47EE-8D96-64F7519EA682}"/>
    <hyperlink ref="O13" r:id="rId13" xr:uid="{F6C212B2-15D4-464A-A620-9DC42777AB26}"/>
    <hyperlink ref="O16" r:id="rId14" xr:uid="{6C5E3693-5C77-457F-8D07-198366E2398D}"/>
    <hyperlink ref="O17" r:id="rId15" xr:uid="{53C23FF1-FE99-4B67-B6FF-04B3CB1B9110}"/>
    <hyperlink ref="O19" r:id="rId16" xr:uid="{7B46B2C0-14AE-4B4E-805C-D393B1A50D70}"/>
    <hyperlink ref="O12" r:id="rId17" xr:uid="{382FF0FA-7010-4BD6-B83E-B24898DEAFC2}"/>
    <hyperlink ref="O20" r:id="rId18" xr:uid="{AE531983-D06C-4C60-B45D-E4544B04C394}"/>
    <hyperlink ref="O21" r:id="rId19" xr:uid="{45297EE2-EE7D-4B4F-A3C8-9A5E031EF4B4}"/>
    <hyperlink ref="O22" r:id="rId20" xr:uid="{0DAF9DCD-55F7-4DC6-A56C-F28831022179}"/>
    <hyperlink ref="O23" r:id="rId21" xr:uid="{175B306F-E9B1-4F1E-AD1F-3E90011CB1AA}"/>
    <hyperlink ref="O24" r:id="rId22" xr:uid="{1681AD64-2563-48EE-8A92-950CAE9B7331}"/>
    <hyperlink ref="O27" r:id="rId23" xr:uid="{B770F765-5335-487F-9967-272DD1C9A2E1}"/>
    <hyperlink ref="O34" r:id="rId24" xr:uid="{0D74FD7F-A6AB-421A-8F10-7C11981AF05F}"/>
    <hyperlink ref="O35" r:id="rId25" xr:uid="{57959F40-302E-4C7E-BCCB-DC9E117DC9C9}"/>
    <hyperlink ref="O36" r:id="rId26" xr:uid="{6D489768-7C07-4E89-B8C4-B27785A5ACC4}"/>
    <hyperlink ref="O38" r:id="rId27" xr:uid="{421CEA32-ED48-4D99-ADE3-24AC8291EFF0}"/>
    <hyperlink ref="O39" r:id="rId28" xr:uid="{8AD47C0D-DD20-446B-99FD-D1C94B901710}"/>
    <hyperlink ref="O43" r:id="rId29" xr:uid="{39F5D6FC-B79E-4A23-A4F5-F94AE19CCF54}"/>
    <hyperlink ref="O44" r:id="rId30" xr:uid="{26F56D36-5160-4F93-B0FE-BA5D7F279576}"/>
    <hyperlink ref="O50" r:id="rId31" xr:uid="{0141DE74-1F28-4DA9-B73A-7BD298437E30}"/>
    <hyperlink ref="O51" r:id="rId32" xr:uid="{71472283-ADCE-419D-B345-3F78D4C9B4A1}"/>
    <hyperlink ref="O15" r:id="rId33" xr:uid="{386A98B2-E463-46C3-98CA-031EE3ACAF7E}"/>
    <hyperlink ref="O18" r:id="rId34" xr:uid="{3F640406-EF82-415C-B941-ACDE17CD6FD1}"/>
  </hyperlinks>
  <pageMargins left="0.7" right="0.7" top="0.75" bottom="0.75" header="0.3" footer="0.3"/>
  <pageSetup paperSize="9" orientation="portrait" r:id="rId35"/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3"/>
  <sheetViews>
    <sheetView topLeftCell="F43" workbookViewId="0">
      <selection activeCell="Q53" sqref="Q53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260</v>
      </c>
      <c r="N9" s="31" t="s">
        <v>261</v>
      </c>
      <c r="O9" s="30" t="s">
        <v>216</v>
      </c>
      <c r="P9" s="31" t="s">
        <v>262</v>
      </c>
      <c r="Q9" s="30" t="s">
        <v>263</v>
      </c>
      <c r="R9" s="31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L10*1000</f>
        <v>20000</v>
      </c>
      <c r="N10" s="61">
        <v>20100</v>
      </c>
      <c r="O10" s="69" t="s">
        <v>227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L11*1000</f>
        <v>1000</v>
      </c>
      <c r="N11" s="45">
        <v>1040</v>
      </c>
      <c r="O11" s="62" t="s">
        <v>227</v>
      </c>
      <c r="P11" s="47">
        <v>1.21E-2</v>
      </c>
      <c r="Q11" s="47">
        <f t="shared" ref="Q11:Q24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43000</v>
      </c>
      <c r="N12" s="61">
        <v>43100</v>
      </c>
      <c r="O12" s="69" t="s">
        <v>227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12000</v>
      </c>
      <c r="N13" s="45">
        <v>12100</v>
      </c>
      <c r="O13" s="62" t="s">
        <v>227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2000</v>
      </c>
      <c r="N14" s="66">
        <v>2020</v>
      </c>
      <c r="O14" s="87" t="s">
        <v>227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16000</v>
      </c>
      <c r="N15" s="45">
        <v>16100</v>
      </c>
      <c r="O15" s="62" t="s">
        <v>227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1000</v>
      </c>
      <c r="N16" s="61">
        <v>1020</v>
      </c>
      <c r="O16" s="69" t="s">
        <v>227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6000</v>
      </c>
      <c r="N17" s="78">
        <v>6100</v>
      </c>
      <c r="O17" s="82" t="s">
        <v>227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15.75" thickBot="1" x14ac:dyDescent="0.3">
      <c r="A18" s="63"/>
      <c r="B18" s="37">
        <f t="shared" si="0"/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7000</v>
      </c>
      <c r="N18" s="61">
        <v>7100</v>
      </c>
      <c r="O18" s="69" t="s">
        <v>227</v>
      </c>
      <c r="P18" s="70">
        <v>2.3800000000000002E-2</v>
      </c>
      <c r="Q18" s="70">
        <f>P18*N18</f>
        <v>168.98000000000002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4000</v>
      </c>
      <c r="N19" s="78">
        <v>4100</v>
      </c>
      <c r="O19" s="82" t="s">
        <v>227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1000</v>
      </c>
      <c r="N20" s="61">
        <v>1100</v>
      </c>
      <c r="O20" s="69" t="s">
        <v>227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8000</v>
      </c>
      <c r="N21" s="78">
        <v>8100</v>
      </c>
      <c r="O21" s="82" t="s">
        <v>227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8000</v>
      </c>
      <c r="N22" s="61">
        <v>8100</v>
      </c>
      <c r="O22" s="69" t="s">
        <v>227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8000</v>
      </c>
      <c r="N23" s="78">
        <v>8050</v>
      </c>
      <c r="O23" s="82" t="s">
        <v>227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4000</v>
      </c>
      <c r="N24" s="61">
        <v>4060</v>
      </c>
      <c r="O24" s="69" t="s">
        <v>227</v>
      </c>
      <c r="P24" s="70">
        <v>1.5800000000000002E-2</v>
      </c>
      <c r="Q24" s="70">
        <f t="shared" si="2"/>
        <v>64.14800000000001</v>
      </c>
      <c r="R24" s="67"/>
      <c r="S24" s="70"/>
    </row>
    <row r="25" spans="1:19" s="64" customFormat="1" ht="36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1000</v>
      </c>
      <c r="N25" s="45">
        <v>1030</v>
      </c>
      <c r="O25" s="62" t="s">
        <v>227</v>
      </c>
      <c r="P25" s="47">
        <v>2.8899999999999999E-2</v>
      </c>
      <c r="Q25" s="47">
        <f t="shared" ref="Q25:Q51" si="3">P25*N25</f>
        <v>29.766999999999999</v>
      </c>
      <c r="R25" s="46"/>
      <c r="S25" s="47"/>
    </row>
    <row r="26" spans="1:19" s="64" customFormat="1" ht="24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1000</v>
      </c>
      <c r="N26" s="61">
        <v>1030</v>
      </c>
      <c r="O26" s="69" t="s">
        <v>227</v>
      </c>
      <c r="P26" s="70">
        <v>2.12E-2</v>
      </c>
      <c r="Q26" s="70">
        <f t="shared" si="3"/>
        <v>21.835999999999999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1000</v>
      </c>
      <c r="N27" s="45">
        <v>1040</v>
      </c>
      <c r="O27" s="62" t="s">
        <v>227</v>
      </c>
      <c r="P27" s="47">
        <v>1.6199999999999999E-2</v>
      </c>
      <c r="Q27" s="47">
        <f t="shared" si="3"/>
        <v>16.847999999999999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1000</v>
      </c>
      <c r="N28" s="61">
        <v>1020</v>
      </c>
      <c r="O28" s="69" t="s">
        <v>227</v>
      </c>
      <c r="P28" s="70">
        <v>3.2199999999999999E-2</v>
      </c>
      <c r="Q28" s="70">
        <f t="shared" si="3"/>
        <v>32.844000000000001</v>
      </c>
      <c r="R28" s="67"/>
      <c r="S28" s="70"/>
    </row>
    <row r="29" spans="1:19" s="64" customFormat="1" ht="24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8000</v>
      </c>
      <c r="N29" s="45">
        <v>8100</v>
      </c>
      <c r="O29" s="62" t="s">
        <v>235</v>
      </c>
      <c r="P29" s="47">
        <v>1.8</v>
      </c>
      <c r="Q29" s="47">
        <f t="shared" si="3"/>
        <v>14580</v>
      </c>
      <c r="R29" s="46"/>
      <c r="S29" s="47"/>
    </row>
    <row r="30" spans="1:19" s="64" customFormat="1" ht="24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/>
      <c r="J30" s="61"/>
      <c r="K30" s="68" t="s">
        <v>229</v>
      </c>
      <c r="L30" s="61">
        <v>4</v>
      </c>
      <c r="M30" s="68">
        <f t="shared" si="1"/>
        <v>4000</v>
      </c>
      <c r="N30" s="61"/>
      <c r="O30" s="69"/>
      <c r="P30" s="70"/>
      <c r="Q30" s="70">
        <f t="shared" si="3"/>
        <v>0</v>
      </c>
      <c r="R30" s="67"/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1000</v>
      </c>
      <c r="N31" s="45">
        <v>1040</v>
      </c>
      <c r="O31" s="62" t="s">
        <v>227</v>
      </c>
      <c r="P31" s="47">
        <v>1.8800000000000001E-2</v>
      </c>
      <c r="Q31" s="47">
        <f t="shared" si="3"/>
        <v>19.552</v>
      </c>
      <c r="R31" s="46"/>
      <c r="S31" s="47"/>
    </row>
    <row r="32" spans="1:19" s="64" customFormat="1" ht="24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5000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 t="s">
        <v>274</v>
      </c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3000</v>
      </c>
      <c r="N33" s="45">
        <v>3100</v>
      </c>
      <c r="O33" s="82" t="s">
        <v>227</v>
      </c>
      <c r="P33" s="47">
        <v>6.9999999999999999E-4</v>
      </c>
      <c r="Q33" s="47">
        <f t="shared" si="3"/>
        <v>2.17</v>
      </c>
      <c r="R33" s="46"/>
      <c r="S33" s="47"/>
    </row>
    <row r="34" spans="1:19" ht="15.75" thickBot="1" x14ac:dyDescent="0.3">
      <c r="A34" s="1"/>
      <c r="B34" s="65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8000</v>
      </c>
      <c r="N34" s="66">
        <v>8100</v>
      </c>
      <c r="O34" s="87" t="s">
        <v>227</v>
      </c>
      <c r="P34" s="88">
        <v>8.0000000000000004E-4</v>
      </c>
      <c r="Q34" s="88">
        <f t="shared" si="3"/>
        <v>6.48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3000</v>
      </c>
      <c r="N35" s="45">
        <v>3100</v>
      </c>
      <c r="O35" s="62" t="s">
        <v>227</v>
      </c>
      <c r="P35" s="47">
        <v>8.0000000000000004E-4</v>
      </c>
      <c r="Q35" s="47">
        <f t="shared" si="3"/>
        <v>2.48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10000</v>
      </c>
      <c r="N36" s="61">
        <v>10100</v>
      </c>
      <c r="O36" s="69" t="s">
        <v>227</v>
      </c>
      <c r="P36" s="70">
        <v>5.0000000000000001E-4</v>
      </c>
      <c r="Q36" s="70">
        <f t="shared" si="3"/>
        <v>5.05</v>
      </c>
      <c r="R36" s="67"/>
      <c r="S36" s="70"/>
    </row>
    <row r="37" spans="1:19" s="64" customFormat="1" ht="24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2000</v>
      </c>
      <c r="N37" s="45">
        <v>2100</v>
      </c>
      <c r="O37" s="62" t="s">
        <v>227</v>
      </c>
      <c r="P37" s="47">
        <v>8.0000000000000004E-4</v>
      </c>
      <c r="Q37" s="47">
        <f t="shared" si="3"/>
        <v>1.6800000000000002</v>
      </c>
      <c r="R37" s="46"/>
      <c r="S37" s="47"/>
    </row>
    <row r="38" spans="1:19" s="64" customFormat="1" ht="24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16000</v>
      </c>
      <c r="N38" s="61">
        <v>16100</v>
      </c>
      <c r="O38" s="69" t="s">
        <v>227</v>
      </c>
      <c r="P38" s="70">
        <v>4.0000000000000002E-4</v>
      </c>
      <c r="Q38" s="70">
        <f t="shared" si="3"/>
        <v>6.44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4000</v>
      </c>
      <c r="N39" s="45">
        <v>4100</v>
      </c>
      <c r="O39" s="62" t="s">
        <v>227</v>
      </c>
      <c r="P39" s="47">
        <v>1.1000000000000001E-3</v>
      </c>
      <c r="Q39" s="47">
        <f t="shared" si="3"/>
        <v>4.5100000000000007</v>
      </c>
      <c r="R39" s="46"/>
      <c r="S39" s="47"/>
    </row>
    <row r="40" spans="1:19" s="64" customFormat="1" ht="180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106000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 t="s">
        <v>274</v>
      </c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1000</v>
      </c>
      <c r="N41" s="45">
        <v>1050</v>
      </c>
      <c r="O41" s="62" t="s">
        <v>235</v>
      </c>
      <c r="P41" s="47">
        <v>3.7999999999999999E-2</v>
      </c>
      <c r="Q41" s="47">
        <f t="shared" si="3"/>
        <v>39.9</v>
      </c>
      <c r="R41" s="89" t="s">
        <v>273</v>
      </c>
      <c r="S41" s="47"/>
    </row>
    <row r="42" spans="1:19" s="64" customFormat="1" ht="24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229</v>
      </c>
      <c r="K42" s="68" t="s">
        <v>229</v>
      </c>
      <c r="L42" s="61">
        <v>1</v>
      </c>
      <c r="M42" s="68">
        <f t="shared" si="1"/>
        <v>1000</v>
      </c>
      <c r="N42" s="61">
        <v>1020</v>
      </c>
      <c r="O42" s="69" t="s">
        <v>235</v>
      </c>
      <c r="P42" s="70">
        <v>3.3</v>
      </c>
      <c r="Q42" s="70">
        <f t="shared" si="3"/>
        <v>3366</v>
      </c>
      <c r="R42" s="95" t="s">
        <v>273</v>
      </c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58">
        <f t="shared" si="1"/>
        <v>8000</v>
      </c>
      <c r="N43" s="45"/>
      <c r="O43" s="62"/>
      <c r="P43" s="47"/>
      <c r="Q43" s="47">
        <f t="shared" si="3"/>
        <v>0</v>
      </c>
      <c r="R43" s="46"/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1000</v>
      </c>
      <c r="N44" s="61">
        <v>1020</v>
      </c>
      <c r="O44" s="69" t="s">
        <v>227</v>
      </c>
      <c r="P44" s="70">
        <v>0.29759999999999998</v>
      </c>
      <c r="Q44" s="70">
        <f t="shared" si="3"/>
        <v>303.55199999999996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1000</v>
      </c>
      <c r="N45" s="45">
        <v>1020</v>
      </c>
      <c r="O45" s="62" t="s">
        <v>235</v>
      </c>
      <c r="P45" s="47">
        <v>8.3000000000000007</v>
      </c>
      <c r="Q45" s="47">
        <f t="shared" si="3"/>
        <v>8466</v>
      </c>
      <c r="R45" s="89" t="s">
        <v>273</v>
      </c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2000</v>
      </c>
      <c r="N46" s="61">
        <v>2020</v>
      </c>
      <c r="O46" s="69" t="s">
        <v>227</v>
      </c>
      <c r="P46" s="70">
        <v>2.6084000000000001</v>
      </c>
      <c r="Q46" s="70">
        <f t="shared" si="3"/>
        <v>5268.9679999999998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1000</v>
      </c>
      <c r="N47" s="45">
        <v>1020</v>
      </c>
      <c r="O47" s="62" t="s">
        <v>235</v>
      </c>
      <c r="P47" s="47">
        <v>9.1999999999999998E-2</v>
      </c>
      <c r="Q47" s="47">
        <f t="shared" si="3"/>
        <v>93.84</v>
      </c>
      <c r="R47" s="89" t="s">
        <v>273</v>
      </c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8">
        <f t="shared" si="1"/>
        <v>1000</v>
      </c>
      <c r="N48" s="61"/>
      <c r="O48" s="69"/>
      <c r="P48" s="70"/>
      <c r="Q48" s="70">
        <f t="shared" si="3"/>
        <v>0</v>
      </c>
      <c r="R48" s="67"/>
      <c r="S48" s="70"/>
    </row>
    <row r="49" spans="1:19" s="64" customFormat="1" ht="24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58">
        <f t="shared" si="1"/>
        <v>4000</v>
      </c>
      <c r="N49" s="45"/>
      <c r="O49" s="62"/>
      <c r="P49" s="47"/>
      <c r="Q49" s="47">
        <f t="shared" si="3"/>
        <v>0</v>
      </c>
      <c r="R49" s="46"/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1000</v>
      </c>
      <c r="N50" s="61">
        <v>1020</v>
      </c>
      <c r="O50" s="69" t="s">
        <v>227</v>
      </c>
      <c r="P50" s="70">
        <v>0.10050000000000001</v>
      </c>
      <c r="Q50" s="70">
        <f t="shared" si="3"/>
        <v>102.51</v>
      </c>
      <c r="R50" s="67"/>
      <c r="S50" s="70"/>
    </row>
    <row r="51" spans="1:19" s="64" customFormat="1" ht="48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2000</v>
      </c>
      <c r="N51" s="45">
        <v>2020</v>
      </c>
      <c r="O51" s="62" t="s">
        <v>227</v>
      </c>
      <c r="P51" s="47">
        <v>4.0500000000000001E-2</v>
      </c>
      <c r="Q51" s="47">
        <f t="shared" si="3"/>
        <v>81.81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36042.976999999992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Q52/1000</f>
        <v>36.042976999999993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5:O2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5" r:id="rId2" xr:uid="{70905355-4C57-456D-9862-DFE0DD3DB964}"/>
    <hyperlink ref="O26" r:id="rId3" xr:uid="{86986251-3D2A-4A7C-A416-3D1199C223D0}"/>
    <hyperlink ref="O28" r:id="rId4" xr:uid="{375CEA92-3EB9-4829-BD66-68D717A59027}"/>
    <hyperlink ref="O31" r:id="rId5" xr:uid="{F6949712-ED65-4C77-96E9-47E5044BB43D}"/>
    <hyperlink ref="O46" r:id="rId6" xr:uid="{730F629A-9B2F-4B72-926C-B3532D45F489}"/>
    <hyperlink ref="O33" r:id="rId7" xr:uid="{D108523B-8283-4FDF-9170-5BCD9B14CB7B}"/>
    <hyperlink ref="O37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4" r:id="rId20" xr:uid="{97EC083E-78AF-4E1D-B006-25B45252D681}"/>
    <hyperlink ref="O27" r:id="rId21" xr:uid="{8BA4993F-EF8D-4853-9AAF-4D944F6F9318}"/>
    <hyperlink ref="O34" r:id="rId22" xr:uid="{76F393FA-22D5-4682-BBA7-E03DE74678BE}"/>
    <hyperlink ref="O35" r:id="rId23" xr:uid="{C3D3E8F5-250D-420F-A560-8FFEE7977CE4}"/>
    <hyperlink ref="O36" r:id="rId24" xr:uid="{BE7D3710-9F89-4332-A6A2-6ECB3E8D552C}"/>
    <hyperlink ref="O38" r:id="rId25" xr:uid="{D44A97AB-9CCA-4520-94CC-47254B3DBCF7}"/>
    <hyperlink ref="O39" r:id="rId26" xr:uid="{5BF77E5E-22E7-47C4-A6AA-CE2094986432}"/>
    <hyperlink ref="O44" r:id="rId27" xr:uid="{766B6931-E141-41BD-90BC-14A8A9662E42}"/>
    <hyperlink ref="O50" r:id="rId28" xr:uid="{A08941E2-E59B-4E31-9A9E-7D3C3FA152D0}"/>
    <hyperlink ref="O51" r:id="rId29" xr:uid="{3384746F-1328-4509-B5D1-3A3DA916D396}"/>
    <hyperlink ref="O15" r:id="rId30" xr:uid="{4032D33F-E07C-4164-91A3-C25F8D36C2F6}"/>
    <hyperlink ref="O18" r:id="rId31" xr:uid="{BC60AEA0-E2CE-478D-8549-567D3F944642}"/>
  </hyperlinks>
  <pageMargins left="0.7" right="0.7" top="0.75" bottom="0.75" header="0.3" footer="0.3"/>
  <pageSetup orientation="portrait" r:id="rId32"/>
  <drawing r:id="rId3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3"/>
  <sheetViews>
    <sheetView tabSelected="1" topLeftCell="A43" workbookViewId="0">
      <selection activeCell="G61" sqref="G61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214</v>
      </c>
      <c r="N9" s="31" t="s">
        <v>215</v>
      </c>
      <c r="O9" s="30" t="s">
        <v>216</v>
      </c>
      <c r="P9" s="31" t="s">
        <v>217</v>
      </c>
      <c r="Q9" s="30" t="s">
        <v>218</v>
      </c>
      <c r="R9" s="30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L10*5000</f>
        <v>100000</v>
      </c>
      <c r="N10" s="61">
        <v>100100</v>
      </c>
      <c r="O10" s="69" t="s">
        <v>227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L11*5000</f>
        <v>5000</v>
      </c>
      <c r="N11" s="45">
        <v>5060</v>
      </c>
      <c r="O11" s="62" t="s">
        <v>227</v>
      </c>
      <c r="P11" s="47">
        <v>1.09E-2</v>
      </c>
      <c r="Q11" s="47">
        <f t="shared" ref="Q11:Q24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215000</v>
      </c>
      <c r="N12" s="61">
        <v>215100</v>
      </c>
      <c r="O12" s="69" t="s">
        <v>227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60000</v>
      </c>
      <c r="N13" s="45">
        <v>60100</v>
      </c>
      <c r="O13" s="62" t="s">
        <v>227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10000</v>
      </c>
      <c r="N14" s="66">
        <v>10100</v>
      </c>
      <c r="O14" s="87" t="s">
        <v>227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80000</v>
      </c>
      <c r="N15" s="45">
        <v>80100</v>
      </c>
      <c r="O15" s="62" t="s">
        <v>227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5000</v>
      </c>
      <c r="N16" s="61">
        <v>5010</v>
      </c>
      <c r="O16" s="69" t="s">
        <v>227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30000</v>
      </c>
      <c r="N17" s="78">
        <v>30100</v>
      </c>
      <c r="O17" s="82" t="s">
        <v>227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15.75" thickBot="1" x14ac:dyDescent="0.3">
      <c r="A18" s="63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35000</v>
      </c>
      <c r="N18" s="61">
        <v>35100</v>
      </c>
      <c r="O18" s="69" t="s">
        <v>227</v>
      </c>
      <c r="P18" s="70">
        <v>2.3800000000000002E-2</v>
      </c>
      <c r="Q18" s="70">
        <f>P18*N18</f>
        <v>835.38000000000011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20000</v>
      </c>
      <c r="N19" s="78">
        <v>20100</v>
      </c>
      <c r="O19" s="82" t="s">
        <v>227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5000</v>
      </c>
      <c r="N20" s="61">
        <v>5100</v>
      </c>
      <c r="O20" s="69" t="s">
        <v>227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40000</v>
      </c>
      <c r="N21" s="78">
        <v>40100</v>
      </c>
      <c r="O21" s="82" t="s">
        <v>227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40000</v>
      </c>
      <c r="N22" s="61">
        <v>40100</v>
      </c>
      <c r="O22" s="69" t="s">
        <v>227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40000</v>
      </c>
      <c r="N23" s="78">
        <v>40100</v>
      </c>
      <c r="O23" s="82" t="s">
        <v>227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20000</v>
      </c>
      <c r="N24" s="61">
        <v>20100</v>
      </c>
      <c r="O24" s="69" t="s">
        <v>227</v>
      </c>
      <c r="P24" s="70">
        <v>1.38E-2</v>
      </c>
      <c r="Q24" s="70">
        <f t="shared" si="2"/>
        <v>277.38</v>
      </c>
      <c r="R24" s="67"/>
      <c r="S24" s="70"/>
    </row>
    <row r="25" spans="1:19" s="64" customFormat="1" ht="24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5000</v>
      </c>
      <c r="N25" s="45">
        <v>5030</v>
      </c>
      <c r="O25" s="62" t="s">
        <v>227</v>
      </c>
      <c r="P25" s="47">
        <v>2.58E-2</v>
      </c>
      <c r="Q25" s="47">
        <f t="shared" ref="Q25:Q51" si="3">P25*N25</f>
        <v>129.774</v>
      </c>
      <c r="R25" s="46"/>
      <c r="S25" s="47"/>
    </row>
    <row r="26" spans="1:19" s="64" customFormat="1" ht="36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5000</v>
      </c>
      <c r="N26" s="61">
        <v>5030</v>
      </c>
      <c r="O26" s="69" t="s">
        <v>227</v>
      </c>
      <c r="P26" s="70">
        <v>1.95E-2</v>
      </c>
      <c r="Q26" s="70">
        <f t="shared" si="3"/>
        <v>98.084999999999994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5000</v>
      </c>
      <c r="N27" s="45">
        <v>5060</v>
      </c>
      <c r="O27" s="62" t="s">
        <v>227</v>
      </c>
      <c r="P27" s="47">
        <v>1.46E-2</v>
      </c>
      <c r="Q27" s="47">
        <f t="shared" si="3"/>
        <v>73.876000000000005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5000</v>
      </c>
      <c r="N28" s="61">
        <v>5060</v>
      </c>
      <c r="O28" s="69" t="s">
        <v>227</v>
      </c>
      <c r="P28" s="70">
        <v>2.9499999999999998E-2</v>
      </c>
      <c r="Q28" s="70">
        <f t="shared" si="3"/>
        <v>149.26999999999998</v>
      </c>
      <c r="R28" s="67"/>
      <c r="S28" s="70"/>
    </row>
    <row r="29" spans="1:19" s="64" customFormat="1" ht="30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40000</v>
      </c>
      <c r="N29" s="45"/>
      <c r="O29" s="62" t="s">
        <v>235</v>
      </c>
      <c r="P29" s="47"/>
      <c r="Q29" s="47">
        <f t="shared" si="3"/>
        <v>0</v>
      </c>
      <c r="R29" s="46"/>
      <c r="S29" s="47"/>
    </row>
    <row r="30" spans="1:19" s="64" customFormat="1" ht="15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/>
      <c r="J30" s="61"/>
      <c r="K30" s="68" t="s">
        <v>229</v>
      </c>
      <c r="L30" s="61">
        <v>4</v>
      </c>
      <c r="M30" s="68">
        <f t="shared" si="1"/>
        <v>20000</v>
      </c>
      <c r="N30" s="61"/>
      <c r="O30" s="69"/>
      <c r="P30" s="70"/>
      <c r="Q30" s="70">
        <f t="shared" si="3"/>
        <v>0</v>
      </c>
      <c r="R30" s="67"/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5000</v>
      </c>
      <c r="N31" s="45">
        <v>5060</v>
      </c>
      <c r="O31" s="62" t="s">
        <v>227</v>
      </c>
      <c r="P31" s="47">
        <v>1.4999999999999999E-2</v>
      </c>
      <c r="Q31" s="47">
        <f t="shared" si="3"/>
        <v>75.899999999999991</v>
      </c>
      <c r="R31" s="46"/>
      <c r="S31" s="47"/>
    </row>
    <row r="32" spans="1:19" s="64" customFormat="1" ht="15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25000</v>
      </c>
      <c r="N32" s="91"/>
      <c r="O32" s="93" t="s">
        <v>229</v>
      </c>
      <c r="P32" s="94"/>
      <c r="Q32" s="94" t="s">
        <v>229</v>
      </c>
      <c r="R32" s="74"/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15000</v>
      </c>
      <c r="N33" s="45">
        <v>15100</v>
      </c>
      <c r="O33" s="82" t="s">
        <v>227</v>
      </c>
      <c r="P33" s="47">
        <v>6.9999999999999999E-4</v>
      </c>
      <c r="Q33" s="47">
        <f t="shared" si="3"/>
        <v>10.57</v>
      </c>
      <c r="R33" s="46"/>
      <c r="S33" s="47"/>
    </row>
    <row r="34" spans="1:19" s="64" customFormat="1" ht="15.75" thickBot="1" x14ac:dyDescent="0.3">
      <c r="A34" s="63"/>
      <c r="B34" s="37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40000</v>
      </c>
      <c r="N34" s="66">
        <v>40100</v>
      </c>
      <c r="O34" s="87" t="s">
        <v>227</v>
      </c>
      <c r="P34" s="88">
        <v>6.9999999999999999E-4</v>
      </c>
      <c r="Q34" s="88">
        <f t="shared" si="3"/>
        <v>28.07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15000</v>
      </c>
      <c r="N35" s="45">
        <v>15100</v>
      </c>
      <c r="O35" s="62" t="s">
        <v>227</v>
      </c>
      <c r="P35" s="47">
        <v>5.9999999999999995E-4</v>
      </c>
      <c r="Q35" s="47">
        <f t="shared" si="3"/>
        <v>9.0599999999999987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50000</v>
      </c>
      <c r="N36" s="61">
        <v>50100</v>
      </c>
      <c r="O36" s="69" t="s">
        <v>227</v>
      </c>
      <c r="P36" s="70">
        <v>5.0000000000000001E-4</v>
      </c>
      <c r="Q36" s="70">
        <f t="shared" si="3"/>
        <v>25.05</v>
      </c>
      <c r="R36" s="67"/>
      <c r="S36" s="70"/>
    </row>
    <row r="37" spans="1:19" s="64" customFormat="1" ht="15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10000</v>
      </c>
      <c r="N37" s="45">
        <v>10100</v>
      </c>
      <c r="O37" s="62" t="s">
        <v>227</v>
      </c>
      <c r="P37" s="47">
        <v>5.9999999999999995E-4</v>
      </c>
      <c r="Q37" s="47">
        <f t="shared" si="3"/>
        <v>6.06</v>
      </c>
      <c r="R37" s="46"/>
      <c r="S37" s="47"/>
    </row>
    <row r="38" spans="1:19" s="64" customFormat="1" ht="36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80000</v>
      </c>
      <c r="N38" s="61">
        <v>80100</v>
      </c>
      <c r="O38" s="69" t="s">
        <v>227</v>
      </c>
      <c r="P38" s="70">
        <v>2.9999999999999997E-4</v>
      </c>
      <c r="Q38" s="70">
        <f t="shared" si="3"/>
        <v>24.029999999999998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20000</v>
      </c>
      <c r="N39" s="45">
        <v>20100</v>
      </c>
      <c r="O39" s="62" t="s">
        <v>227</v>
      </c>
      <c r="P39" s="47">
        <v>8.9999999999999998E-4</v>
      </c>
      <c r="Q39" s="47">
        <f t="shared" si="3"/>
        <v>18.09</v>
      </c>
      <c r="R39" s="46"/>
      <c r="S39" s="47"/>
    </row>
    <row r="40" spans="1:19" s="64" customFormat="1" ht="216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530000</v>
      </c>
      <c r="N40" s="91"/>
      <c r="O40" s="93" t="s">
        <v>229</v>
      </c>
      <c r="P40" s="94"/>
      <c r="Q40" s="94" t="s">
        <v>229</v>
      </c>
      <c r="R40" s="74"/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5000</v>
      </c>
      <c r="N41" s="45">
        <v>5050</v>
      </c>
      <c r="O41" s="62" t="s">
        <v>235</v>
      </c>
      <c r="P41" s="47">
        <v>2.1999999999999999E-2</v>
      </c>
      <c r="Q41" s="47">
        <f t="shared" si="3"/>
        <v>111.1</v>
      </c>
      <c r="R41" s="89"/>
      <c r="S41" s="47"/>
    </row>
    <row r="42" spans="1:19" s="64" customFormat="1" ht="30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8">
        <f t="shared" si="1"/>
        <v>5000</v>
      </c>
      <c r="N42" s="61">
        <v>5020</v>
      </c>
      <c r="O42" s="69" t="s">
        <v>235</v>
      </c>
      <c r="P42" s="70">
        <v>3.12</v>
      </c>
      <c r="Q42" s="70">
        <f t="shared" si="3"/>
        <v>15662.4</v>
      </c>
      <c r="R42" s="67"/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58">
        <f t="shared" si="1"/>
        <v>40000</v>
      </c>
      <c r="N43" s="45"/>
      <c r="O43" s="62"/>
      <c r="P43" s="47"/>
      <c r="Q43" s="47">
        <f t="shared" si="3"/>
        <v>0</v>
      </c>
      <c r="R43" s="46"/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5000</v>
      </c>
      <c r="N44" s="61">
        <v>5020</v>
      </c>
      <c r="O44" s="69" t="s">
        <v>227</v>
      </c>
      <c r="P44" s="70">
        <v>0.29759999999999998</v>
      </c>
      <c r="Q44" s="70">
        <f t="shared" si="3"/>
        <v>1493.9519999999998</v>
      </c>
      <c r="R44" s="67"/>
      <c r="S44" s="70"/>
    </row>
    <row r="45" spans="1:19" s="64" customFormat="1" ht="30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5000</v>
      </c>
      <c r="N45" s="45">
        <v>5020</v>
      </c>
      <c r="O45" s="62" t="s">
        <v>235</v>
      </c>
      <c r="P45" s="47">
        <v>8.1199999999999992</v>
      </c>
      <c r="Q45" s="47">
        <f t="shared" si="3"/>
        <v>40762.399999999994</v>
      </c>
      <c r="R45" s="89"/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10000</v>
      </c>
      <c r="N46" s="61">
        <v>10040</v>
      </c>
      <c r="O46" s="69" t="s">
        <v>227</v>
      </c>
      <c r="P46" s="70">
        <v>4.78</v>
      </c>
      <c r="Q46" s="70">
        <f t="shared" si="3"/>
        <v>47991.200000000004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5000</v>
      </c>
      <c r="N47" s="45">
        <v>5020</v>
      </c>
      <c r="O47" s="62" t="s">
        <v>235</v>
      </c>
      <c r="P47" s="47">
        <v>0.03</v>
      </c>
      <c r="Q47" s="47">
        <f t="shared" si="3"/>
        <v>150.6</v>
      </c>
      <c r="R47" s="89"/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8">
        <f t="shared" si="1"/>
        <v>5000</v>
      </c>
      <c r="N48" s="61"/>
      <c r="O48" s="69"/>
      <c r="P48" s="70"/>
      <c r="Q48" s="70">
        <f t="shared" si="3"/>
        <v>0</v>
      </c>
      <c r="R48" s="67"/>
      <c r="S48" s="70"/>
    </row>
    <row r="49" spans="1:19" s="64" customFormat="1" ht="15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58">
        <f t="shared" si="1"/>
        <v>20000</v>
      </c>
      <c r="N49" s="45"/>
      <c r="O49" s="62"/>
      <c r="P49" s="47"/>
      <c r="Q49" s="47">
        <f t="shared" si="3"/>
        <v>0</v>
      </c>
      <c r="R49" s="46"/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5000</v>
      </c>
      <c r="N50" s="61">
        <v>5050</v>
      </c>
      <c r="O50" s="69" t="s">
        <v>227</v>
      </c>
      <c r="P50" s="70">
        <v>0.10050000000000001</v>
      </c>
      <c r="Q50" s="70">
        <f t="shared" si="3"/>
        <v>507.52500000000003</v>
      </c>
      <c r="R50" s="67"/>
      <c r="S50" s="70"/>
    </row>
    <row r="51" spans="1:19" s="64" customFormat="1" ht="36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10000</v>
      </c>
      <c r="N51" s="45">
        <v>10050</v>
      </c>
      <c r="O51" s="62" t="s">
        <v>227</v>
      </c>
      <c r="P51" s="47">
        <v>4.0500000000000001E-2</v>
      </c>
      <c r="Q51" s="47">
        <f t="shared" si="3"/>
        <v>407.02500000000003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125338.65299999999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Q52/5000</f>
        <v>25.067730599999997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5:O2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5" r:id="rId1" xr:uid="{A27C862F-18F0-414E-AA8D-2898A66A92FE}"/>
    <hyperlink ref="O26" r:id="rId2" xr:uid="{6FBFD1C4-482C-455A-AFDA-16DD91F590C0}"/>
    <hyperlink ref="O28" r:id="rId3" xr:uid="{CF64CBB6-FC18-4CB1-87A0-4111CB47E3E1}"/>
    <hyperlink ref="O31" r:id="rId4" xr:uid="{158427D7-D8CA-43FE-AFFB-EF9BA9336FF0}"/>
    <hyperlink ref="O46" r:id="rId5" xr:uid="{56CEDD64-C5D3-4056-9F8A-E6CF4236300C}"/>
    <hyperlink ref="O33" r:id="rId6" xr:uid="{3EC30965-8FF2-4122-92ED-196F57D35EA1}"/>
    <hyperlink ref="O37" r:id="rId7" xr:uid="{E09E614F-0B24-4621-95CC-32DE85E40D90}"/>
    <hyperlink ref="O27" r:id="rId8" xr:uid="{ACB6F6A4-0C21-4DBD-9962-B15DF1B7367E}"/>
    <hyperlink ref="O34" r:id="rId9" xr:uid="{FB317990-9A6D-468C-9FD1-D6CF2B2835D8}"/>
    <hyperlink ref="O35" r:id="rId10" xr:uid="{7FDD2B95-AAE1-4720-A377-0691A800B3EB}"/>
    <hyperlink ref="O36" r:id="rId11" xr:uid="{80B13D6B-62B5-4925-BF28-902E9C5DBB14}"/>
    <hyperlink ref="O38" r:id="rId12" xr:uid="{5DC89305-5A5D-4C98-8CDC-999B45CE207A}"/>
    <hyperlink ref="O39" r:id="rId13" xr:uid="{F0954EE6-EB24-40B5-951D-CDF505B8A795}"/>
    <hyperlink ref="O44" r:id="rId14" xr:uid="{49544DB8-79A0-4AD4-B110-6458441F3A9F}"/>
    <hyperlink ref="O50" r:id="rId15" xr:uid="{D770D024-E5D2-4683-97A4-B80BAC74C6DF}"/>
    <hyperlink ref="O51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24" r:id="rId29" xr:uid="{E7BB18FE-751F-414A-81AA-F5059F24E2AD}"/>
    <hyperlink ref="O15" r:id="rId30" xr:uid="{6C4052E8-5365-49C8-94FF-FDF3A71A90A6}"/>
    <hyperlink ref="O18" r:id="rId31" xr:uid="{F3175E97-F14C-4B7F-A205-C10794218E90}"/>
  </hyperlinks>
  <pageMargins left="0.7" right="0.7" top="0.75" bottom="0.75" header="0.3" footer="0.3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2022-12-23T14:48:30Z</dcterms:modified>
</cp:coreProperties>
</file>