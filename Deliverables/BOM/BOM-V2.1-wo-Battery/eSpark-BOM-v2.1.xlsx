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B2747D9-757B-4486-8A09-306AD09303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 Boards " sheetId="1" r:id="rId1"/>
    <sheet name="1K Boards" sheetId="2" r:id="rId2"/>
    <sheet name="5K Boards" sheetId="3" r:id="rId3"/>
  </sheets>
  <calcPr calcId="191029"/>
</workbook>
</file>

<file path=xl/calcChain.xml><?xml version="1.0" encoding="utf-8"?>
<calcChain xmlns="http://schemas.openxmlformats.org/spreadsheetml/2006/main">
  <c r="M11" i="3" l="1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10" i="3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10" i="2"/>
  <c r="Q56" i="3"/>
  <c r="B56" i="3"/>
  <c r="Q55" i="3"/>
  <c r="B55" i="3"/>
  <c r="Q54" i="3"/>
  <c r="B54" i="3"/>
  <c r="Q53" i="3"/>
  <c r="B53" i="3"/>
  <c r="Q52" i="3"/>
  <c r="B52" i="3"/>
  <c r="Q51" i="3"/>
  <c r="B51" i="3"/>
  <c r="Q50" i="3"/>
  <c r="B50" i="3"/>
  <c r="Q49" i="3"/>
  <c r="B49" i="3"/>
  <c r="Q48" i="3"/>
  <c r="B48" i="3"/>
  <c r="Q47" i="3"/>
  <c r="B47" i="3"/>
  <c r="Q46" i="3"/>
  <c r="B46" i="3"/>
  <c r="B45" i="3"/>
  <c r="Q44" i="3"/>
  <c r="B44" i="3"/>
  <c r="Q43" i="3"/>
  <c r="B43" i="3"/>
  <c r="Q42" i="3"/>
  <c r="B42" i="3"/>
  <c r="Q41" i="3"/>
  <c r="B41" i="3"/>
  <c r="Q40" i="3"/>
  <c r="B40" i="3"/>
  <c r="Q39" i="3"/>
  <c r="B39" i="3"/>
  <c r="Q38" i="3"/>
  <c r="B38" i="3"/>
  <c r="Q37" i="3"/>
  <c r="B37" i="3"/>
  <c r="B36" i="3"/>
  <c r="Q35" i="3"/>
  <c r="B35" i="3"/>
  <c r="Q34" i="3"/>
  <c r="B34" i="3"/>
  <c r="Q33" i="3"/>
  <c r="B33" i="3"/>
  <c r="Q32" i="3"/>
  <c r="B32" i="3"/>
  <c r="Q31" i="3"/>
  <c r="B31" i="3"/>
  <c r="Q30" i="3"/>
  <c r="B30" i="3"/>
  <c r="Q29" i="3"/>
  <c r="B29" i="3"/>
  <c r="Q28" i="3"/>
  <c r="B28" i="3"/>
  <c r="Q27" i="3"/>
  <c r="B27" i="3"/>
  <c r="Q26" i="3"/>
  <c r="B26" i="3"/>
  <c r="Q25" i="3"/>
  <c r="B25" i="3"/>
  <c r="Q24" i="3"/>
  <c r="B24" i="3"/>
  <c r="Q23" i="3"/>
  <c r="B23" i="3"/>
  <c r="Q22" i="3"/>
  <c r="B22" i="3"/>
  <c r="Q21" i="3"/>
  <c r="B21" i="3"/>
  <c r="Q20" i="3"/>
  <c r="B20" i="3"/>
  <c r="Q19" i="3"/>
  <c r="B19" i="3"/>
  <c r="Q18" i="3"/>
  <c r="B18" i="3"/>
  <c r="Q17" i="3"/>
  <c r="B17" i="3"/>
  <c r="Q16" i="3"/>
  <c r="B16" i="3"/>
  <c r="Q15" i="3"/>
  <c r="B15" i="3"/>
  <c r="Q14" i="3"/>
  <c r="B14" i="3"/>
  <c r="Q13" i="3"/>
  <c r="B13" i="3"/>
  <c r="Q12" i="3"/>
  <c r="B12" i="3"/>
  <c r="Q11" i="3"/>
  <c r="B11" i="3"/>
  <c r="Q10" i="3"/>
  <c r="B10" i="3"/>
  <c r="Q56" i="2"/>
  <c r="B56" i="2"/>
  <c r="Q55" i="2"/>
  <c r="B55" i="2"/>
  <c r="Q54" i="2"/>
  <c r="B54" i="2"/>
  <c r="Q53" i="2"/>
  <c r="B53" i="2"/>
  <c r="Q52" i="2"/>
  <c r="B52" i="2"/>
  <c r="Q51" i="2"/>
  <c r="B51" i="2"/>
  <c r="Q50" i="2"/>
  <c r="B50" i="2"/>
  <c r="Q49" i="2"/>
  <c r="B49" i="2"/>
  <c r="Q48" i="2"/>
  <c r="B48" i="2"/>
  <c r="Q47" i="2"/>
  <c r="B47" i="2"/>
  <c r="Q46" i="2"/>
  <c r="B46" i="2"/>
  <c r="B45" i="2"/>
  <c r="Q44" i="2"/>
  <c r="B44" i="2"/>
  <c r="Q43" i="2"/>
  <c r="B43" i="2"/>
  <c r="Q42" i="2"/>
  <c r="B42" i="2"/>
  <c r="Q41" i="2"/>
  <c r="B41" i="2"/>
  <c r="Q40" i="2"/>
  <c r="B40" i="2"/>
  <c r="Q39" i="2"/>
  <c r="B39" i="2"/>
  <c r="Q38" i="2"/>
  <c r="B38" i="2"/>
  <c r="Q37" i="2"/>
  <c r="B37" i="2"/>
  <c r="B36" i="2"/>
  <c r="Q35" i="2"/>
  <c r="B35" i="2"/>
  <c r="Q34" i="2"/>
  <c r="B34" i="2"/>
  <c r="Q33" i="2"/>
  <c r="B33" i="2"/>
  <c r="Q32" i="2"/>
  <c r="B32" i="2"/>
  <c r="Q31" i="2"/>
  <c r="B31" i="2"/>
  <c r="Q30" i="2"/>
  <c r="B30" i="2"/>
  <c r="Q29" i="2"/>
  <c r="B29" i="2"/>
  <c r="Q28" i="2"/>
  <c r="B28" i="2"/>
  <c r="Q27" i="2"/>
  <c r="B27" i="2"/>
  <c r="Q26" i="2"/>
  <c r="B26" i="2"/>
  <c r="Q25" i="2"/>
  <c r="B25" i="2"/>
  <c r="Q24" i="2"/>
  <c r="B24" i="2"/>
  <c r="Q23" i="2"/>
  <c r="B23" i="2"/>
  <c r="Q22" i="2"/>
  <c r="B22" i="2"/>
  <c r="Q21" i="2"/>
  <c r="B21" i="2"/>
  <c r="Q20" i="2"/>
  <c r="B20" i="2"/>
  <c r="Q19" i="2"/>
  <c r="B19" i="2"/>
  <c r="Q18" i="2"/>
  <c r="B18" i="2"/>
  <c r="Q17" i="2"/>
  <c r="B17" i="2"/>
  <c r="Q16" i="2"/>
  <c r="B16" i="2"/>
  <c r="Q15" i="2"/>
  <c r="B15" i="2"/>
  <c r="Q14" i="2"/>
  <c r="B14" i="2"/>
  <c r="Q13" i="2"/>
  <c r="B13" i="2"/>
  <c r="Q12" i="2"/>
  <c r="B12" i="2"/>
  <c r="Q11" i="2"/>
  <c r="B11" i="2"/>
  <c r="Q10" i="2"/>
  <c r="B10" i="2"/>
  <c r="Q57" i="1"/>
  <c r="Q58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7" i="1"/>
  <c r="Q38" i="1"/>
  <c r="Q39" i="1"/>
  <c r="Q40" i="1"/>
  <c r="Q41" i="1"/>
  <c r="Q42" i="1"/>
  <c r="Q43" i="1"/>
  <c r="Q44" i="1"/>
  <c r="Q46" i="1"/>
  <c r="Q47" i="1"/>
  <c r="Q48" i="1"/>
  <c r="Q49" i="1"/>
  <c r="Q50" i="1"/>
  <c r="Q51" i="1"/>
  <c r="Q52" i="1"/>
  <c r="Q53" i="1"/>
  <c r="Q54" i="1"/>
  <c r="Q55" i="1"/>
  <c r="Q56" i="1"/>
  <c r="Q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10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Q57" i="2" l="1"/>
  <c r="Q58" i="2" s="1"/>
  <c r="Q57" i="3"/>
  <c r="Q58" i="3" s="1"/>
</calcChain>
</file>

<file path=xl/sharedStrings.xml><?xml version="1.0" encoding="utf-8"?>
<sst xmlns="http://schemas.openxmlformats.org/spreadsheetml/2006/main" count="1378" uniqueCount="287">
  <si>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</si>
  <si>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</si>
  <si>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</si>
  <si>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</si>
  <si>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</si>
  <si>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</si>
  <si>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</si>
  <si>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</si>
  <si>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USB Connector</t>
  </si>
  <si>
    <t>Microphone</t>
  </si>
  <si>
    <t>Module</t>
  </si>
  <si>
    <t>IC</t>
  </si>
  <si>
    <t>Designator</t>
  </si>
  <si>
    <t>C1, C23, C24, C25, C26, C28, C30, C32, C45, C46, C47, C48, C49, C50, C51, C52, C137, C138, C139, C140</t>
  </si>
  <si>
    <t>C2</t>
  </si>
  <si>
    <t>C3, C5, C7, C9, C11, C13, C15, C17, C27, C29, C35, C39, C42, C53, C55, C70, C72, C76, C78, C85, C#2</t>
  </si>
  <si>
    <t>C4, C6, C8, C10, C12, C14, C16, C18, C37, C40, C83, C86</t>
  </si>
  <si>
    <t>C19, C21</t>
  </si>
  <si>
    <t>C20, C22, C31, C33, C54, C58, C59, C71, C77, C79, C81, C82</t>
  </si>
  <si>
    <t>C34, C38, C41, C84</t>
  </si>
  <si>
    <t>C36</t>
  </si>
  <si>
    <t>C43, C44, C61, C62, C73, C74</t>
  </si>
  <si>
    <t>C56, C57</t>
  </si>
  <si>
    <t>C60, C63, C68, C69</t>
  </si>
  <si>
    <t>C64, C65, C66, C67, C90, C91, C92, C93, C94, C95, C98, C99, C108, C112, C113, C114, C116, C118, C120, C128, C135, C136</t>
  </si>
  <si>
    <t>C75</t>
  </si>
  <si>
    <t>C80</t>
  </si>
  <si>
    <t>C87, C88, C89, C109, C110, C111, C115, C117</t>
  </si>
  <si>
    <t>C96, C129, C131, C132</t>
  </si>
  <si>
    <t>C97, C119, C122, C123, C126, C130, C133, C134</t>
  </si>
  <si>
    <t>C100, C101, C102, C103, C104, C105, C106, C107</t>
  </si>
  <si>
    <t>C121, C124, C125, C127</t>
  </si>
  <si>
    <t>D1</t>
  </si>
  <si>
    <t>D2</t>
  </si>
  <si>
    <t>J1</t>
  </si>
  <si>
    <t>J2</t>
  </si>
  <si>
    <t>MK1, MK2, MK3, MK4, MK5, MK6, MK7, MK8</t>
  </si>
  <si>
    <t>MK9, MK10, MK11, MK12</t>
  </si>
  <si>
    <t>P1</t>
  </si>
  <si>
    <t>P2, P3, P4, P5, P6</t>
  </si>
  <si>
    <t>R1, R2, R3</t>
  </si>
  <si>
    <t>R4, R5, R6, R22, R23, R24, R34, R38</t>
  </si>
  <si>
    <t>R7, R8, R9</t>
  </si>
  <si>
    <t>R10, R13, R14, R25, R26, R27, R35, R39, R42, R43</t>
  </si>
  <si>
    <t>R11, R12</t>
  </si>
  <si>
    <t>R15, R16, R18, R19, R20, R21, R28, R29, R30, R31, R32, R33, R36, R37, R40, R41</t>
  </si>
  <si>
    <t>R17</t>
  </si>
  <si>
    <t>R44, R45, R46, R47</t>
  </si>
  <si>
    <t>SB1, SB2, SB3, SB4, SB5, SB6, SB7, SB8, SB9, SB10, SB11, SB12, SB13, SB14, SB15, SB16, SB17, SB18, SB19, SB20, SB21, SB22, SB23, SB24, SB25, SB26, SB27, SB28, SB29, SB30, SB31, SB32, SB33, SB34, SB35, SB36, SB37, SB38, SB39, SB40, SB41, SB42, SB43, SB44, SB45, SB46, SB47, SB48, SB49, SB50, SB51, SB52, SB53, SB54, SB55, SB56, SB57, SB58, SB59, SB60, SB61, SB62, SB63, SB64, SB65, SB66, SB67, SB68, SB69, SB70, SB71, SB72, SB73, SB74, SB75, SB76, SB77, SB78, SB79, SB80, SB81, SB82, SB83, SB84, SB85, SB86, SB87, SB88, SB89, SB90, SB91, SB92, SB93, SB94, SB95, SB96, SB97, SB98, SB99, SB100, SB101, SB102, SB103, SB104, SB105, SB106</t>
  </si>
  <si>
    <t>SW1</t>
  </si>
  <si>
    <t>U1</t>
  </si>
  <si>
    <t>U2, U7, U8, U9, U10, U11, U12, U14</t>
  </si>
  <si>
    <t>U3</t>
  </si>
  <si>
    <t>U4</t>
  </si>
  <si>
    <t>U5, U6</t>
  </si>
  <si>
    <t>U13</t>
  </si>
  <si>
    <t>U15</t>
  </si>
  <si>
    <t>U16, U17, U18, U19</t>
  </si>
  <si>
    <t>X1</t>
  </si>
  <si>
    <t>X2, X3</t>
  </si>
  <si>
    <t>Description</t>
  </si>
  <si>
    <t>CAP CER 4.7UF 16V X5R 0603</t>
  </si>
  <si>
    <t>CAP CER 4.7UF 25V X5R 0603</t>
  </si>
  <si>
    <t>CAP CER 1UF 25V X5R 0603</t>
  </si>
  <si>
    <t>CAP CER 220PF 50V C0G/NPO 0402</t>
  </si>
  <si>
    <t>CAP TANT POLY 680UF 6.3V 2917</t>
  </si>
  <si>
    <t>CAP CER 0.1UF 100V X7R 0603</t>
  </si>
  <si>
    <t>CAP CER 0.1UF 50V X5R 0603</t>
  </si>
  <si>
    <t>CAP CER 0.22UF 50V X7S 0603</t>
  </si>
  <si>
    <t>CAP SMD 18pF ±5.0% 50V NPO 0603</t>
  </si>
  <si>
    <t>CAP CER 10UF 25V X5R 0603</t>
  </si>
  <si>
    <t>CAP CER 10PF 50V C0G/NPO 0603</t>
  </si>
  <si>
    <t>CAP CER 1UF 25V X5R 0402</t>
  </si>
  <si>
    <t>CAP CER 100PF 25V X7R 0603</t>
  </si>
  <si>
    <t>CAP CER 27PF 50V C0G/NPO 0603</t>
  </si>
  <si>
    <t>CAP CER 0.1UF 16V X5R 0402</t>
  </si>
  <si>
    <t>CAP CER 10UF 16V X7R 0805</t>
  </si>
  <si>
    <t>CAP CER 10UF 10V X5R 0603</t>
  </si>
  <si>
    <t>15V 19A 3.3V 4V Bidirectional SOD-323 ESD Protection Devices ROHS</t>
  </si>
  <si>
    <t>DIODE TVS SMD 5.5V 5A 90W</t>
  </si>
  <si>
    <t>05P MTA100 HDR ASSY (NARROW)</t>
  </si>
  <si>
    <t>USB 3.1 1 Surface Mount 6 Female -25℃~+85℃ Type-C SMD USB Connectors ROHS</t>
  </si>
  <si>
    <t>WINFREY MIC HI SNR/AOP BOT PORT</t>
  </si>
  <si>
    <t>Lovato Analog Bottom Port Mic</t>
  </si>
  <si>
    <t>CONN HEADER VERT 6POS 2.54MM</t>
  </si>
  <si>
    <t>Test Point ON</t>
  </si>
  <si>
    <t>RES SMD 100K OHM 5% 1/5W 0603</t>
  </si>
  <si>
    <t>RES 300K OHM 1% 1/10W 0603</t>
  </si>
  <si>
    <t>RES SMD 0R, 1%, 0.1W, 0603</t>
  </si>
  <si>
    <t>RES SMD 4.7K OHM 5% 1/10W 0603</t>
  </si>
  <si>
    <t>RES SMD 5.1K OHM 5% 1/10W 0603</t>
  </si>
  <si>
    <t>RES 10K OHM 1% 1/16W 0402</t>
  </si>
  <si>
    <t>RES SMD 10K OHM 1% 1/10W 0603</t>
  </si>
  <si>
    <t>RES 11.3K OHM 1% 1/10W 0603</t>
  </si>
  <si>
    <t>Solder Bridge ON</t>
  </si>
  <si>
    <t>3mm 2mm Round Button 50mA Top3.65mm SPST 12V SMD Tactile Switches</t>
  </si>
  <si>
    <t>RF TXRX MOD WIFI PCB TRACE SMD</t>
  </si>
  <si>
    <t>IC OPAMP GP 1 CIRCUIT SOT23-5</t>
  </si>
  <si>
    <t>Linear Voltage Regulator IC Positive Fixed 1 Output 3.3V 1A SOT-25</t>
  </si>
  <si>
    <t>IC ADC 24BIT SIGMA-DELTA 32TQFP</t>
  </si>
  <si>
    <t>IC ADC/AUDIO 24BIT 192K 30TSSOP</t>
  </si>
  <si>
    <t>2 NPN pre-biased (Dual) 150mW 100mA 50V SC-70-6(SOT-363) Digital Transistors ROHS</t>
  </si>
  <si>
    <t>IC ADC AUDIO 768K 24WQFN</t>
  </si>
  <si>
    <t>IC AMP CLASS AB STEREO 16TQFN</t>
  </si>
  <si>
    <t>8.192MHz SMD Crystal Resonator 12pF 150Ω ±10ppm ±30ppm -40℃~+85℃ SMD_3225_4P Crystals ROHS</t>
  </si>
  <si>
    <t>24.576MHz SMD Crystal Resonator 12pF 60Ω ±10ppm -40℃~+85℃ SMD3225-4P Crystals ROHS</t>
  </si>
  <si>
    <t>Footprint</t>
  </si>
  <si>
    <t>Cap-0603</t>
  </si>
  <si>
    <t>Cap 0603</t>
  </si>
  <si>
    <t>Cap 0402</t>
  </si>
  <si>
    <t>Case-D</t>
  </si>
  <si>
    <t>Cap-0402</t>
  </si>
  <si>
    <t>Cap-0805</t>
  </si>
  <si>
    <t>UDD32C03L01</t>
  </si>
  <si>
    <t>X1SON - 0.45 mm max height</t>
  </si>
  <si>
    <t>HDR1X5</t>
  </si>
  <si>
    <t>U262-061N-4BVC11</t>
  </si>
  <si>
    <t>SPM0687LR5H-1</t>
  </si>
  <si>
    <t>SPH8878LR5H-1</t>
  </si>
  <si>
    <t>HDR1X6</t>
  </si>
  <si>
    <t>Test-point</t>
  </si>
  <si>
    <t>Res0603</t>
  </si>
  <si>
    <t>Res-0603</t>
  </si>
  <si>
    <t>Res-0402</t>
  </si>
  <si>
    <t>Solder Bridge</t>
  </si>
  <si>
    <t>TS-1185EC-C-D-B</t>
  </si>
  <si>
    <t>ESP32-WROVER-E-N8R8</t>
  </si>
  <si>
    <t>SOT-23-5</t>
  </si>
  <si>
    <t>SOT-25</t>
  </si>
  <si>
    <t>32TQFP</t>
  </si>
  <si>
    <t>PCM1865DBTR</t>
  </si>
  <si>
    <t>UMH3N</t>
  </si>
  <si>
    <t>24-WQFN (4x4)</t>
  </si>
  <si>
    <t>16-TQFN (4x4)</t>
  </si>
  <si>
    <t>3TJ481920NYLBC</t>
  </si>
  <si>
    <t>S3224576121060</t>
  </si>
  <si>
    <t>Manufacturer Part Number</t>
  </si>
  <si>
    <t>CC0603KRX5R7BB475</t>
  </si>
  <si>
    <t>CL10A475KA8NQNC</t>
  </si>
  <si>
    <t>CC0603KRX5R8BB105</t>
  </si>
  <si>
    <t>CC0402JRNPO9BN221</t>
  </si>
  <si>
    <t>6TPE680MI</t>
  </si>
  <si>
    <t>CC0603KRX7R0BB104</t>
  </si>
  <si>
    <t>CC0603KRX5R9BB104</t>
  </si>
  <si>
    <t>UMK107C7224KAHTE</t>
  </si>
  <si>
    <t>CC0603JRNPO9BN180</t>
  </si>
  <si>
    <t>CL10A106MA8NRNC</t>
  </si>
  <si>
    <t>CC0603JRNPO9BN100</t>
  </si>
  <si>
    <t>CC0402KRX5R8BB105</t>
  </si>
  <si>
    <t>CC0603KRX7R8BB101</t>
  </si>
  <si>
    <t>CC0603JRNPO9BN270</t>
  </si>
  <si>
    <t>C1608X5R1E106M080AC</t>
  </si>
  <si>
    <t>CC0402KRX5R7BB104</t>
  </si>
  <si>
    <t>EMK212BB7106MG-T</t>
  </si>
  <si>
    <t>CC0603KRX5R6BB106</t>
  </si>
  <si>
    <t>TPD1E10B06DPYR</t>
  </si>
  <si>
    <t>3-644456-5</t>
  </si>
  <si>
    <t>CRGH0603J100K</t>
  </si>
  <si>
    <t>RC0603FR-07300KL</t>
  </si>
  <si>
    <t>RC0603FR-070RL</t>
  </si>
  <si>
    <t>RC0603JR-074K7L</t>
  </si>
  <si>
    <t>RC0603JR-075K1L</t>
  </si>
  <si>
    <t>RC0402FR-0710KL</t>
  </si>
  <si>
    <t>RC0603FR-0710KL</t>
  </si>
  <si>
    <t>RC0603FR-0711K3L</t>
  </si>
  <si>
    <t>OPA344NA/250</t>
  </si>
  <si>
    <t>XC6220B331MR-G</t>
  </si>
  <si>
    <t>ADS131M08IPBSR</t>
  </si>
  <si>
    <t>TLV320ADC5140IRTWT</t>
  </si>
  <si>
    <t>MAX4063ETE+T</t>
  </si>
  <si>
    <t>Manufacturer</t>
  </si>
  <si>
    <t>Yageo</t>
  </si>
  <si>
    <t>Samsung</t>
  </si>
  <si>
    <t>Panasonic</t>
  </si>
  <si>
    <t>Taiyo Yuden</t>
  </si>
  <si>
    <t>TDK</t>
  </si>
  <si>
    <t>Brightking</t>
  </si>
  <si>
    <t>Texas Instruments</t>
  </si>
  <si>
    <t>TE Connectivity</t>
  </si>
  <si>
    <t>XKB</t>
  </si>
  <si>
    <t>Knowles</t>
  </si>
  <si>
    <t>Wurth Electronics</t>
  </si>
  <si>
    <t>Espressif Systems</t>
  </si>
  <si>
    <t>Torex</t>
  </si>
  <si>
    <t>Changjiang</t>
  </si>
  <si>
    <t>Maxim</t>
  </si>
  <si>
    <t>JYJE</t>
  </si>
  <si>
    <t>JGHC</t>
  </si>
  <si>
    <t>LCSC Part Number</t>
  </si>
  <si>
    <t>C277476</t>
  </si>
  <si>
    <t>C14664</t>
  </si>
  <si>
    <t>C79115</t>
  </si>
  <si>
    <t>C110022</t>
  </si>
  <si>
    <t>C106245</t>
  </si>
  <si>
    <t>C326568</t>
  </si>
  <si>
    <t>C107045</t>
  </si>
  <si>
    <t>C2168289</t>
  </si>
  <si>
    <t>C106204</t>
  </si>
  <si>
    <t>C326057</t>
  </si>
  <si>
    <t>C2764612</t>
  </si>
  <si>
    <t>C105428</t>
  </si>
  <si>
    <t>C60490</t>
  </si>
  <si>
    <t>C2973667</t>
  </si>
  <si>
    <t>C131974</t>
  </si>
  <si>
    <t>4.7uF</t>
  </si>
  <si>
    <t>4.7UF</t>
  </si>
  <si>
    <t>1uF</t>
  </si>
  <si>
    <t>220pF</t>
  </si>
  <si>
    <t>680uF</t>
  </si>
  <si>
    <t>0.1uF</t>
  </si>
  <si>
    <t>100nF</t>
  </si>
  <si>
    <t>220nF</t>
  </si>
  <si>
    <t>18pF</t>
  </si>
  <si>
    <t>10uF</t>
  </si>
  <si>
    <t>10pF</t>
  </si>
  <si>
    <t>100pF</t>
  </si>
  <si>
    <t>27pF</t>
  </si>
  <si>
    <t>100K</t>
  </si>
  <si>
    <t>300K</t>
  </si>
  <si>
    <t>0R</t>
  </si>
  <si>
    <t>4.7K</t>
  </si>
  <si>
    <t>5.1K</t>
  </si>
  <si>
    <t>10K</t>
  </si>
  <si>
    <t>11.3K</t>
  </si>
  <si>
    <t>Quantity</t>
  </si>
  <si>
    <t>Diode</t>
  </si>
  <si>
    <t>Header</t>
  </si>
  <si>
    <t xml:space="preserve">Test Point </t>
  </si>
  <si>
    <t>Resistor</t>
  </si>
  <si>
    <t>Solder bridge</t>
  </si>
  <si>
    <t>Switch</t>
  </si>
  <si>
    <t>Crystal</t>
  </si>
  <si>
    <t>Alternate Part Number</t>
  </si>
  <si>
    <t>Value</t>
  </si>
  <si>
    <t>Quantity (5000 Boards)</t>
  </si>
  <si>
    <t>MOQ (5000 Boards)</t>
  </si>
  <si>
    <t>Links</t>
  </si>
  <si>
    <t>Unit Cost (5000 Boards)</t>
  </si>
  <si>
    <t>Total Cost (5000 Boards)</t>
  </si>
  <si>
    <t>Remarks</t>
  </si>
  <si>
    <t>Reviewer Remarks</t>
  </si>
  <si>
    <t xml:space="preserve">Total Component Cost </t>
  </si>
  <si>
    <t>Single Board Cost</t>
  </si>
  <si>
    <t>Quantity (20 Boards)</t>
  </si>
  <si>
    <t>MOQ (20 Boards)</t>
  </si>
  <si>
    <t>Unit Cost (20 Boards)</t>
  </si>
  <si>
    <t>Total Cost (20 Boards)</t>
  </si>
  <si>
    <t>LCSC</t>
  </si>
  <si>
    <t>SOD-323</t>
  </si>
  <si>
    <t>-</t>
  </si>
  <si>
    <t>C78439</t>
  </si>
  <si>
    <t>C2972450</t>
  </si>
  <si>
    <t>PZ254V-11-05P</t>
  </si>
  <si>
    <t>C492404</t>
  </si>
  <si>
    <t>Custom</t>
  </si>
  <si>
    <t xml:space="preserve">Custom Supplier </t>
  </si>
  <si>
    <t>C37208</t>
  </si>
  <si>
    <t>C181312</t>
  </si>
  <si>
    <t>C62892</t>
  </si>
  <si>
    <t>C2898996</t>
  </si>
  <si>
    <t>8.192MHz</t>
  </si>
  <si>
    <t>C390772</t>
  </si>
  <si>
    <t>24.576MHz</t>
  </si>
  <si>
    <t xml:space="preserve">RS-03K104JT
</t>
  </si>
  <si>
    <t>C73806</t>
  </si>
  <si>
    <t>30TSSOP</t>
  </si>
  <si>
    <t>SC-70-6</t>
  </si>
  <si>
    <t>C98220</t>
  </si>
  <si>
    <t>C100044</t>
  </si>
  <si>
    <t>C14677</t>
  </si>
  <si>
    <t>C69335</t>
  </si>
  <si>
    <t>C107001</t>
  </si>
  <si>
    <t>C113803</t>
  </si>
  <si>
    <t>C386159</t>
  </si>
  <si>
    <t>C107040</t>
  </si>
  <si>
    <t>C96446</t>
  </si>
  <si>
    <t>C519410</t>
  </si>
  <si>
    <t>C141287</t>
  </si>
  <si>
    <t>C114667</t>
  </si>
  <si>
    <t>C137803</t>
  </si>
  <si>
    <t>C86534</t>
  </si>
  <si>
    <t>Bill of Materials for Project [Sound_Sensor]</t>
  </si>
  <si>
    <t>Sound_Sensor</t>
  </si>
  <si>
    <t>Quantity (1000 Boards)</t>
  </si>
  <si>
    <t>MOQ (1000 Boards)</t>
  </si>
  <si>
    <t>Unit Cost (1000 Boards)</t>
  </si>
  <si>
    <t>Total Cost (1000 Boards)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</si>
</sst>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3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center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 wrapText="1"/>
    </xf>
    <xf numFmtId="0" fontId="17" fillId="5" borderId="23" xfId="0" applyFont="1" applyFill="1" applyBorder="1" applyAlignment="1">
      <alignment horizontal="center" vertical="center"/>
    </xf>
    <xf numFmtId="0" fontId="21" fillId="3" borderId="23" xfId="0" applyFont="1" applyFill="1" applyBorder="1" applyAlignment="1" applyProtection="1">
      <alignment horizontal="center" vertical="top"/>
      <protection locked="0"/>
    </xf>
    <xf numFmtId="0" fontId="21" fillId="3" borderId="12" xfId="0" applyFont="1" applyFill="1" applyBorder="1" applyAlignment="1" applyProtection="1">
      <alignment horizontal="center" vertical="top"/>
      <protection locked="0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4" xfId="0" applyNumberFormat="1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0" fontId="18" fillId="4" borderId="25" xfId="0" applyFont="1" applyFill="1" applyBorder="1" applyAlignment="1">
      <alignment horizontal="center" vertical="center" wrapText="1"/>
    </xf>
    <xf numFmtId="0" fontId="18" fillId="4" borderId="22" xfId="0" applyFont="1" applyFill="1" applyBorder="1" applyAlignment="1">
      <alignment horizontal="center" vertical="center" wrapText="1"/>
    </xf>
    <xf numFmtId="0" fontId="0" fillId="3" borderId="0" xfId="0" applyFill="1" applyBorder="1"/>
    <xf numFmtId="0" fontId="18" fillId="2" borderId="17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165" fontId="22" fillId="4" borderId="17" xfId="1" applyNumberFormat="1" applyFill="1" applyBorder="1" applyAlignment="1">
      <alignment horizontal="center" vertical="center"/>
    </xf>
    <xf numFmtId="165" fontId="18" fillId="4" borderId="6" xfId="0" applyNumberFormat="1" applyFont="1" applyFill="1" applyBorder="1" applyAlignment="1">
      <alignment horizontal="center" vertical="center" wrapText="1"/>
    </xf>
    <xf numFmtId="165" fontId="22" fillId="2" borderId="17" xfId="1" applyNumberFormat="1" applyFill="1" applyBorder="1" applyAlignment="1">
      <alignment horizontal="center" vertical="center"/>
    </xf>
    <xf numFmtId="165" fontId="18" fillId="2" borderId="6" xfId="0" applyNumberFormat="1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5" fillId="4" borderId="17" xfId="0" applyFont="1" applyFill="1" applyBorder="1" applyAlignment="1">
      <alignment horizontal="center" vertical="center" wrapText="1"/>
    </xf>
    <xf numFmtId="0" fontId="22" fillId="0" borderId="17" xfId="1" quotePrefix="1" applyFill="1" applyBorder="1" applyAlignment="1">
      <alignment horizontal="center" vertical="center"/>
    </xf>
    <xf numFmtId="0" fontId="22" fillId="4" borderId="17" xfId="1" quotePrefix="1" applyFill="1" applyBorder="1" applyAlignment="1">
      <alignment horizontal="center" vertical="center"/>
    </xf>
    <xf numFmtId="165" fontId="19" fillId="4" borderId="6" xfId="0" applyNumberFormat="1" applyFont="1" applyFill="1" applyBorder="1" applyAlignment="1">
      <alignment horizontal="center" vertical="center" wrapText="1"/>
    </xf>
    <xf numFmtId="0" fontId="22" fillId="0" borderId="17" xfId="1" quotePrefix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165" fontId="19" fillId="2" borderId="6" xfId="0" applyNumberFormat="1" applyFont="1" applyFill="1" applyBorder="1" applyAlignment="1">
      <alignment horizontal="center" vertical="center" wrapText="1"/>
    </xf>
    <xf numFmtId="0" fontId="24" fillId="2" borderId="6" xfId="0" quotePrefix="1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horizontal="center" vertical="center" wrapText="1"/>
    </xf>
    <xf numFmtId="0" fontId="23" fillId="2" borderId="26" xfId="0" applyFont="1" applyFill="1" applyBorder="1" applyAlignment="1">
      <alignment horizontal="center" vertical="center"/>
    </xf>
    <xf numFmtId="0" fontId="24" fillId="4" borderId="17" xfId="0" quotePrefix="1" applyFont="1" applyFill="1" applyBorder="1" applyAlignment="1">
      <alignment horizontal="center" vertical="center"/>
    </xf>
    <xf numFmtId="0" fontId="22" fillId="4" borderId="17" xfId="1" applyFill="1" applyBorder="1" applyAlignment="1">
      <alignment horizontal="center" vertical="center"/>
    </xf>
    <xf numFmtId="0" fontId="22" fillId="2" borderId="16" xfId="1" applyFill="1" applyBorder="1" applyAlignment="1">
      <alignment horizontal="center" vertical="center" wrapText="1"/>
    </xf>
    <xf numFmtId="0" fontId="22" fillId="4" borderId="17" xfId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9" fillId="0" borderId="16" xfId="0" applyFont="1" applyBorder="1" applyAlignment="1">
      <alignment horizontal="center" wrapText="1"/>
    </xf>
    <xf numFmtId="0" fontId="0" fillId="0" borderId="0" xfId="0" applyAlignment="1">
      <alignment wrapText="1"/>
    </xf>
    <xf numFmtId="165" fontId="22" fillId="2" borderId="17" xfId="1" applyNumberFormat="1" applyFill="1" applyBorder="1" applyAlignment="1">
      <alignment horizontal="center" vertical="center" wrapText="1"/>
    </xf>
    <xf numFmtId="165" fontId="22" fillId="4" borderId="17" xfId="1" applyNumberFormat="1" applyFill="1" applyBorder="1" applyAlignment="1">
      <alignment horizontal="center" vertical="center" wrapText="1"/>
    </xf>
    <xf numFmtId="0" fontId="24" fillId="4" borderId="6" xfId="0" applyFont="1" applyFill="1" applyBorder="1" applyAlignment="1">
      <alignment horizontal="center" vertical="center" wrapText="1"/>
    </xf>
    <xf numFmtId="0" fontId="22" fillId="0" borderId="17" xfId="1" quotePrefix="1" applyFill="1" applyBorder="1" applyAlignment="1">
      <alignment horizontal="center" vertical="center" wrapText="1"/>
    </xf>
    <xf numFmtId="0" fontId="22" fillId="4" borderId="17" xfId="1" quotePrefix="1" applyFill="1" applyBorder="1" applyAlignment="1">
      <alignment horizontal="center" vertical="center" wrapText="1"/>
    </xf>
    <xf numFmtId="0" fontId="24" fillId="4" borderId="17" xfId="0" quotePrefix="1" applyFont="1" applyFill="1" applyBorder="1" applyAlignment="1">
      <alignment horizontal="center" vertical="center" wrapText="1"/>
    </xf>
    <xf numFmtId="0" fontId="22" fillId="0" borderId="17" xfId="1" quotePrefix="1" applyBorder="1" applyAlignment="1">
      <alignment horizontal="center" vertical="center" wrapText="1"/>
    </xf>
    <xf numFmtId="0" fontId="24" fillId="2" borderId="6" xfId="0" quotePrefix="1" applyFont="1" applyFill="1" applyBorder="1" applyAlignment="1">
      <alignment horizontal="center" vertical="center" wrapText="1"/>
    </xf>
    <xf numFmtId="0" fontId="23" fillId="2" borderId="26" xfId="0" applyFont="1" applyFill="1" applyBorder="1" applyAlignment="1">
      <alignment horizontal="center" vertical="center" wrapText="1"/>
    </xf>
    <xf numFmtId="0" fontId="1" fillId="2" borderId="0" xfId="0" applyFont="1" applyFill="1" applyAlignment="1"/>
    <xf numFmtId="0" fontId="11" fillId="5" borderId="15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22" fillId="2" borderId="16" xfId="1" applyFill="1" applyBorder="1" applyAlignment="1">
      <alignment horizontal="center" vertical="center"/>
    </xf>
    <xf numFmtId="165" fontId="18" fillId="2" borderId="16" xfId="0" applyNumberFormat="1" applyFont="1" applyFill="1" applyBorder="1" applyAlignment="1">
      <alignment horizontal="center" vertical="center"/>
    </xf>
    <xf numFmtId="0" fontId="0" fillId="0" borderId="0" xfId="0" applyAlignment="1"/>
    <xf numFmtId="0" fontId="18" fillId="2" borderId="1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7" borderId="6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18" fillId="8" borderId="5" xfId="0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18" fillId="9" borderId="5" xfId="0" applyFont="1" applyFill="1" applyBorder="1" applyAlignment="1">
      <alignment horizontal="center"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18" fillId="10" borderId="5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10416</xdr:rowOff>
    </xdr:from>
    <xdr:to>
      <xdr:col>18</xdr:col>
      <xdr:colOff>1724025</xdr:colOff>
      <xdr:row>7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AF195F-DF71-4FA6-903F-D3FC8AF27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450050" y="620016"/>
          <a:ext cx="1714500" cy="1113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10416</xdr:rowOff>
    </xdr:from>
    <xdr:to>
      <xdr:col>18</xdr:col>
      <xdr:colOff>1724025</xdr:colOff>
      <xdr:row>7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BCEA9E-574C-4CB1-8931-9EB82F2FB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992975" y="620016"/>
          <a:ext cx="1714500" cy="1113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Multilayer-Ceramic-Capacitors-MLCC-SMD-SMT_YAGEO-CC0603KRX5R7BB475_C277476.html" TargetMode="External"/><Relationship Id="rId18" Type="http://schemas.openxmlformats.org/officeDocument/2006/relationships/hyperlink" Target="https://www.lcsc.com/product-detail/Multilayer-Ceramic-Capacitors-MLCC-SMD-SMT_YAGEO-CC0603JRNPO9BN180_C107040.html" TargetMode="External"/><Relationship Id="rId26" Type="http://schemas.openxmlformats.org/officeDocument/2006/relationships/hyperlink" Target="https://www.lcsc.com/product-detail/Multilayer-Ceramic-Capacitors-MLCC-SMD-SMT_Taiyo-Yuden-EMK212BB7106MG-T_C141287.html" TargetMode="External"/><Relationship Id="rId39" Type="http://schemas.openxmlformats.org/officeDocument/2006/relationships/drawing" Target="../drawings/drawing1.xml"/><Relationship Id="rId21" Type="http://schemas.openxmlformats.org/officeDocument/2006/relationships/hyperlink" Target="https://www.lcsc.com/product-detail/Multilayer-Ceramic-Capacitors-MLCC-SMD-SMT_YAGEO-CC0402KRX5R8BB105_C326568.html" TargetMode="External"/><Relationship Id="rId34" Type="http://schemas.openxmlformats.org/officeDocument/2006/relationships/hyperlink" Target="https://www.lcsc.com/product-detail/Precision-OpAmps_Texas-Instruments-OPA344NA-250_C131974.html" TargetMode="External"/><Relationship Id="rId7" Type="http://schemas.openxmlformats.org/officeDocument/2006/relationships/hyperlink" Target="https://lcsc.com/product-detail/Digital-Transistors_Changjiang-Electronics-Tech-CJ-UMH3N_C62892.html" TargetMode="External"/><Relationship Id="rId12" Type="http://schemas.openxmlformats.org/officeDocument/2006/relationships/hyperlink" Target="https://lcsc.com/product-detail/Chip-Resistor-Surface-Mount_YAGEO-RC0603JR-075K1L_C14677.html" TargetMode="External"/><Relationship Id="rId17" Type="http://schemas.openxmlformats.org/officeDocument/2006/relationships/hyperlink" Target="https://www.lcsc.com/product-detail/Multilayer-Ceramic-Capacitors-MLCC-SMD-SMT_Taiyo-Yuden-UMK107C7224KAHTE_C386159.html" TargetMode="External"/><Relationship Id="rId25" Type="http://schemas.openxmlformats.org/officeDocument/2006/relationships/hyperlink" Target="https://www.lcsc.com/product-detail/Multilayer-Ceramic-Capacitors-MLCC-SMD-SMT_YAGEO-CC0402KRX5R7BB104_C106204.html" TargetMode="External"/><Relationship Id="rId33" Type="http://schemas.openxmlformats.org/officeDocument/2006/relationships/hyperlink" Target="https://www.lcsc.com/product-detail/Chip-Resistor-Surface-Mount_YAGEO-RC0603FR-0711K3L_C137803.html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https://www.lcsc.com/product-detail/Tantalum-Capacitors_PANASONIC-6TPE680MI_C79115.html" TargetMode="External"/><Relationship Id="rId16" Type="http://schemas.openxmlformats.org/officeDocument/2006/relationships/hyperlink" Target="https://www.lcsc.com/product-detail/Multilayer-Ceramic-Capacitors-MLCC-SMD-SMT_YAGEO-CC0603KRX7R0BB104_C113803.html" TargetMode="External"/><Relationship Id="rId20" Type="http://schemas.openxmlformats.org/officeDocument/2006/relationships/hyperlink" Target="https://www.lcsc.com/product-detail/Multilayer-Ceramic-Capacitors-MLCC-SMD-SMT_YAGEO-CC0603JRNPO9BN100_C106245.html" TargetMode="External"/><Relationship Id="rId29" Type="http://schemas.openxmlformats.org/officeDocument/2006/relationships/hyperlink" Target="https://www.lcsc.com/product-detail/Chip-Resistor-Surface-Mount_YAGEO-RC0603FR-07300KL_C114667.html" TargetMode="External"/><Relationship Id="rId1" Type="http://schemas.openxmlformats.org/officeDocument/2006/relationships/hyperlink" Target="https://lcsc.com/product-detail/Multilayer-Ceramic-Capacitors-MLCC-SMD-SMT_YAGEO-CC0603KRX5R8BB105_C14664.html" TargetMode="External"/><Relationship Id="rId6" Type="http://schemas.openxmlformats.org/officeDocument/2006/relationships/hyperlink" Target="https://www.lcsc.com/product-detail/Pin-Headers_BOOMELE-Boom-Precision-Elec-C37208_C37208.html" TargetMode="External"/><Relationship Id="rId11" Type="http://schemas.openxmlformats.org/officeDocument/2006/relationships/hyperlink" Target="https://www.lcsc.com/product-detail/Chip-Resistor-Surface-Mount_YAGEO-RC0603FR-0710KL_C98220.html" TargetMode="External"/><Relationship Id="rId24" Type="http://schemas.openxmlformats.org/officeDocument/2006/relationships/hyperlink" Target="https://www.lcsc.com/product-detail/Multilayer-Ceramic-Capacitors-MLCC-SMD-SMT_YAGEO-CC0603JRNPO9BN270_C107045.html" TargetMode="External"/><Relationship Id="rId32" Type="http://schemas.openxmlformats.org/officeDocument/2006/relationships/hyperlink" Target="https://www.lcsc.com/product-detail/Chip-Resistor-Surface-Mount_YAGEO-RC0402FR-0710KL_C60490.html" TargetMode="External"/><Relationship Id="rId37" Type="http://schemas.openxmlformats.org/officeDocument/2006/relationships/hyperlink" Target="https://www.lcsc.com/product-detail/Crystals_JGHC-S3224576121060_C390772.html" TargetMode="External"/><Relationship Id="rId5" Type="http://schemas.openxmlformats.org/officeDocument/2006/relationships/hyperlink" Target="https://www.lcsc.com/product-detail/USB-Connectors_XKB-Connectivity-U262-061N-4BVC11_C2764612.html" TargetMode="External"/><Relationship Id="rId15" Type="http://schemas.openxmlformats.org/officeDocument/2006/relationships/hyperlink" Target="https://www.lcsc.com/product-detail/Multilayer-Ceramic-Capacitors-MLCC-SMD-SMT_YAGEO-CC0402JRNPO9BN221_C107001.html" TargetMode="External"/><Relationship Id="rId23" Type="http://schemas.openxmlformats.org/officeDocument/2006/relationships/hyperlink" Target="https://www.lcsc.com/product-detail/Multilayer-Ceramic-Capacitors-MLCC-SMD-SMT_YAGEO-CC0603KRX7R8BB101_C519410.html" TargetMode="External"/><Relationship Id="rId28" Type="http://schemas.openxmlformats.org/officeDocument/2006/relationships/hyperlink" Target="https://www.lcsc.com/product-detail/Pin-Headers_XFCN-PZ254V-11-05P_C492404.html" TargetMode="External"/><Relationship Id="rId36" Type="http://schemas.openxmlformats.org/officeDocument/2006/relationships/hyperlink" Target="https://www.lcsc.com/product-detail/Crystals_JYJE-3TJ481920NYLBC_C2898996.html" TargetMode="External"/><Relationship Id="rId10" Type="http://schemas.openxmlformats.org/officeDocument/2006/relationships/hyperlink" Target="https://www.lcsc.com/product-detail/WiFi-Modules_Espressif-Systems-ESP32-WROVER-E-N8R8_C2973667.html" TargetMode="External"/><Relationship Id="rId19" Type="http://schemas.openxmlformats.org/officeDocument/2006/relationships/hyperlink" Target="https://www.lcsc.com/product-detail/Multilayer-Ceramic-Capacitors-MLCC-SMD-SMT_Samsung-Electro-Mechanics-CL10A106MA8NRNC_C96446.html" TargetMode="External"/><Relationship Id="rId31" Type="http://schemas.openxmlformats.org/officeDocument/2006/relationships/hyperlink" Target="https://www.lcsc.com/product-detail/Chip-Resistor-Surface-Mount_YAGEO-RC0603JR-074K7L_C105428.html" TargetMode="External"/><Relationship Id="rId4" Type="http://schemas.openxmlformats.org/officeDocument/2006/relationships/hyperlink" Target="https://lcsc.com/product-detail/ESD-Protection-Devices_Leiditech-TPD1E10B06DPYR_C2972450.html" TargetMode="External"/><Relationship Id="rId9" Type="http://schemas.openxmlformats.org/officeDocument/2006/relationships/hyperlink" Target="https://lcsc.com/product-detail/Chip-Resistor-Surface-Mount_FH-Guangdong-Fenghua-Advanced-Tech-RS-03K104JT_C73806.html" TargetMode="External"/><Relationship Id="rId14" Type="http://schemas.openxmlformats.org/officeDocument/2006/relationships/hyperlink" Target="https://www.lcsc.com/product-detail/Multilayer-Ceramic-Capacitors-MLCC-SMD-SMT_Samsung-Electro-Mechanics-CL10A475KA8NQNC_C69335.html" TargetMode="External"/><Relationship Id="rId22" Type="http://schemas.openxmlformats.org/officeDocument/2006/relationships/hyperlink" Target="https://www.lcsc.com/product-detail/Multilayer-Ceramic-Capacitors-MLCC-SMD-SMT_Samsung-Electro-Mechanics-CL10A106MA8NRNC_C96446.html" TargetMode="External"/><Relationship Id="rId27" Type="http://schemas.openxmlformats.org/officeDocument/2006/relationships/hyperlink" Target="https://www.lcsc.com/product-detail/Multilayer-Ceramic-Capacitors-MLCC-SMD-SMT_YAGEO-CC0603KRX5R6BB106_C326057.html" TargetMode="External"/><Relationship Id="rId30" Type="http://schemas.openxmlformats.org/officeDocument/2006/relationships/hyperlink" Target="https://www.lcsc.com/product-detail/Chip-Resistor-Surface-Mount_YAGEO-RC0603FR-070RL_C100044.html" TargetMode="External"/><Relationship Id="rId35" Type="http://schemas.openxmlformats.org/officeDocument/2006/relationships/hyperlink" Target="https://www.lcsc.com/product-detail/Linear-Voltage-Regulators-LDO_Torex-Semicon-XC6220B331MR-G_C86534.html" TargetMode="External"/><Relationship Id="rId8" Type="http://schemas.openxmlformats.org/officeDocument/2006/relationships/hyperlink" Target="https://www.lcsc.com/product-detail/Analog-Front-End-AFEs_Texas-Instruments-PCM1865DBTR_C181312.html" TargetMode="External"/><Relationship Id="rId3" Type="http://schemas.openxmlformats.org/officeDocument/2006/relationships/hyperlink" Target="https://lcsc.com/product-detail/ESD-Protection-Devices_Brightking-Elec-TAIWAN-UDD32C03L01_C78439.htm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Multilayer-Ceramic-Capacitors-MLCC-SMD-SMT_YAGEO-CC0603KRX5R7BB475_C277476.html" TargetMode="External"/><Relationship Id="rId18" Type="http://schemas.openxmlformats.org/officeDocument/2006/relationships/hyperlink" Target="https://www.lcsc.com/product-detail/Multilayer-Ceramic-Capacitors-MLCC-SMD-SMT_YAGEO-CC0603JRNPO9BN180_C107040.html" TargetMode="External"/><Relationship Id="rId26" Type="http://schemas.openxmlformats.org/officeDocument/2006/relationships/hyperlink" Target="https://www.lcsc.com/product-detail/Multilayer-Ceramic-Capacitors-MLCC-SMD-SMT_Taiyo-Yuden-EMK212BB7106MG-T_C141287.html" TargetMode="External"/><Relationship Id="rId21" Type="http://schemas.openxmlformats.org/officeDocument/2006/relationships/hyperlink" Target="https://www.lcsc.com/product-detail/Multilayer-Ceramic-Capacitors-MLCC-SMD-SMT_YAGEO-CC0402KRX5R8BB105_C326568.html" TargetMode="External"/><Relationship Id="rId34" Type="http://schemas.openxmlformats.org/officeDocument/2006/relationships/hyperlink" Target="https://www.lcsc.com/product-detail/Precision-OpAmps_Texas-Instruments-OPA344NA-250_C131974.html" TargetMode="External"/><Relationship Id="rId7" Type="http://schemas.openxmlformats.org/officeDocument/2006/relationships/hyperlink" Target="https://lcsc.com/product-detail/Digital-Transistors_Changjiang-Electronics-Tech-CJ-UMH3N_C62892.html" TargetMode="External"/><Relationship Id="rId12" Type="http://schemas.openxmlformats.org/officeDocument/2006/relationships/hyperlink" Target="https://lcsc.com/product-detail/Chip-Resistor-Surface-Mount_YAGEO-RC0603JR-075K1L_C14677.html" TargetMode="External"/><Relationship Id="rId17" Type="http://schemas.openxmlformats.org/officeDocument/2006/relationships/hyperlink" Target="https://www.lcsc.com/product-detail/Multilayer-Ceramic-Capacitors-MLCC-SMD-SMT_Taiyo-Yuden-UMK107C7224KAHTE_C386159.html" TargetMode="External"/><Relationship Id="rId25" Type="http://schemas.openxmlformats.org/officeDocument/2006/relationships/hyperlink" Target="https://www.lcsc.com/product-detail/Multilayer-Ceramic-Capacitors-MLCC-SMD-SMT_YAGEO-CC0402KRX5R7BB104_C106204.html" TargetMode="External"/><Relationship Id="rId33" Type="http://schemas.openxmlformats.org/officeDocument/2006/relationships/hyperlink" Target="https://www.lcsc.com/product-detail/Chip-Resistor-Surface-Mount_YAGEO-RC0603FR-0711K3L_C137803.html" TargetMode="External"/><Relationship Id="rId38" Type="http://schemas.openxmlformats.org/officeDocument/2006/relationships/drawing" Target="../drawings/drawing2.xml"/><Relationship Id="rId2" Type="http://schemas.openxmlformats.org/officeDocument/2006/relationships/hyperlink" Target="https://www.lcsc.com/product-detail/Tantalum-Capacitors_PANASONIC-6TPE680MI_C79115.html" TargetMode="External"/><Relationship Id="rId16" Type="http://schemas.openxmlformats.org/officeDocument/2006/relationships/hyperlink" Target="https://www.lcsc.com/product-detail/Multilayer-Ceramic-Capacitors-MLCC-SMD-SMT_YAGEO-CC0603KRX7R0BB104_C113803.html" TargetMode="External"/><Relationship Id="rId20" Type="http://schemas.openxmlformats.org/officeDocument/2006/relationships/hyperlink" Target="https://www.lcsc.com/product-detail/Multilayer-Ceramic-Capacitors-MLCC-SMD-SMT_YAGEO-CC0603JRNPO9BN100_C106245.html" TargetMode="External"/><Relationship Id="rId29" Type="http://schemas.openxmlformats.org/officeDocument/2006/relationships/hyperlink" Target="https://www.lcsc.com/product-detail/Chip-Resistor-Surface-Mount_YAGEO-RC0603FR-07300KL_C114667.html" TargetMode="External"/><Relationship Id="rId1" Type="http://schemas.openxmlformats.org/officeDocument/2006/relationships/hyperlink" Target="https://lcsc.com/product-detail/Multilayer-Ceramic-Capacitors-MLCC-SMD-SMT_YAGEO-CC0603KRX5R8BB105_C14664.html" TargetMode="External"/><Relationship Id="rId6" Type="http://schemas.openxmlformats.org/officeDocument/2006/relationships/hyperlink" Target="https://www.lcsc.com/product-detail/Pin-Headers_BOOMELE-Boom-Precision-Elec-C37208_C37208.html" TargetMode="External"/><Relationship Id="rId11" Type="http://schemas.openxmlformats.org/officeDocument/2006/relationships/hyperlink" Target="https://www.lcsc.com/product-detail/Chip-Resistor-Surface-Mount_YAGEO-RC0603FR-0710KL_C98220.html" TargetMode="External"/><Relationship Id="rId24" Type="http://schemas.openxmlformats.org/officeDocument/2006/relationships/hyperlink" Target="https://www.lcsc.com/product-detail/Multilayer-Ceramic-Capacitors-MLCC-SMD-SMT_YAGEO-CC0603JRNPO9BN270_C107045.html" TargetMode="External"/><Relationship Id="rId32" Type="http://schemas.openxmlformats.org/officeDocument/2006/relationships/hyperlink" Target="https://www.lcsc.com/product-detail/Chip-Resistor-Surface-Mount_YAGEO-RC0402FR-0710KL_C60490.html" TargetMode="External"/><Relationship Id="rId37" Type="http://schemas.openxmlformats.org/officeDocument/2006/relationships/hyperlink" Target="https://www.lcsc.com/product-detail/Crystals_JGHC-S3224576121060_C390772.html" TargetMode="External"/><Relationship Id="rId5" Type="http://schemas.openxmlformats.org/officeDocument/2006/relationships/hyperlink" Target="https://www.lcsc.com/product-detail/USB-Connectors_XKB-Connectivity-U262-061N-4BVC11_C2764612.html" TargetMode="External"/><Relationship Id="rId15" Type="http://schemas.openxmlformats.org/officeDocument/2006/relationships/hyperlink" Target="https://www.lcsc.com/product-detail/Multilayer-Ceramic-Capacitors-MLCC-SMD-SMT_YAGEO-CC0402JRNPO9BN221_C107001.html" TargetMode="External"/><Relationship Id="rId23" Type="http://schemas.openxmlformats.org/officeDocument/2006/relationships/hyperlink" Target="https://www.lcsc.com/product-detail/Multilayer-Ceramic-Capacitors-MLCC-SMD-SMT_YAGEO-CC0603KRX7R8BB101_C519410.html" TargetMode="External"/><Relationship Id="rId28" Type="http://schemas.openxmlformats.org/officeDocument/2006/relationships/hyperlink" Target="https://www.lcsc.com/product-detail/Pin-Headers_XFCN-PZ254V-11-05P_C492404.html" TargetMode="External"/><Relationship Id="rId36" Type="http://schemas.openxmlformats.org/officeDocument/2006/relationships/hyperlink" Target="https://www.lcsc.com/product-detail/Crystals_JYJE-3TJ481920NYLBC_C2898996.html" TargetMode="External"/><Relationship Id="rId10" Type="http://schemas.openxmlformats.org/officeDocument/2006/relationships/hyperlink" Target="https://www.lcsc.com/product-detail/WiFi-Modules_Espressif-Systems-ESP32-WROVER-E-N8R8_C2973667.html" TargetMode="External"/><Relationship Id="rId19" Type="http://schemas.openxmlformats.org/officeDocument/2006/relationships/hyperlink" Target="https://www.lcsc.com/product-detail/Multilayer-Ceramic-Capacitors-MLCC-SMD-SMT_Samsung-Electro-Mechanics-CL10A106MA8NRNC_C96446.html" TargetMode="External"/><Relationship Id="rId31" Type="http://schemas.openxmlformats.org/officeDocument/2006/relationships/hyperlink" Target="https://www.lcsc.com/product-detail/Chip-Resistor-Surface-Mount_YAGEO-RC0603JR-074K7L_C105428.html" TargetMode="External"/><Relationship Id="rId4" Type="http://schemas.openxmlformats.org/officeDocument/2006/relationships/hyperlink" Target="https://lcsc.com/product-detail/ESD-Protection-Devices_Leiditech-TPD1E10B06DPYR_C2972450.html" TargetMode="External"/><Relationship Id="rId9" Type="http://schemas.openxmlformats.org/officeDocument/2006/relationships/hyperlink" Target="https://lcsc.com/product-detail/Chip-Resistor-Surface-Mount_FH-Guangdong-Fenghua-Advanced-Tech-RS-03K104JT_C73806.html" TargetMode="External"/><Relationship Id="rId14" Type="http://schemas.openxmlformats.org/officeDocument/2006/relationships/hyperlink" Target="https://www.lcsc.com/product-detail/Multilayer-Ceramic-Capacitors-MLCC-SMD-SMT_Samsung-Electro-Mechanics-CL10A475KA8NQNC_C69335.html" TargetMode="External"/><Relationship Id="rId22" Type="http://schemas.openxmlformats.org/officeDocument/2006/relationships/hyperlink" Target="https://www.lcsc.com/product-detail/Multilayer-Ceramic-Capacitors-MLCC-SMD-SMT_Samsung-Electro-Mechanics-CL10A106MA8NRNC_C96446.html" TargetMode="External"/><Relationship Id="rId27" Type="http://schemas.openxmlformats.org/officeDocument/2006/relationships/hyperlink" Target="https://www.lcsc.com/product-detail/Multilayer-Ceramic-Capacitors-MLCC-SMD-SMT_YAGEO-CC0603KRX5R6BB106_C326057.html" TargetMode="External"/><Relationship Id="rId30" Type="http://schemas.openxmlformats.org/officeDocument/2006/relationships/hyperlink" Target="https://www.lcsc.com/product-detail/Chip-Resistor-Surface-Mount_YAGEO-RC0603FR-070RL_C100044.html" TargetMode="External"/><Relationship Id="rId35" Type="http://schemas.openxmlformats.org/officeDocument/2006/relationships/hyperlink" Target="https://www.lcsc.com/product-detail/Linear-Voltage-Regulators-LDO_Torex-Semicon-XC6220B331MR-G_C86534.html" TargetMode="External"/><Relationship Id="rId8" Type="http://schemas.openxmlformats.org/officeDocument/2006/relationships/hyperlink" Target="https://www.lcsc.com/product-detail/Analog-Front-End-AFEs_Texas-Instruments-PCM1865DBTR_C181312.html" TargetMode="External"/><Relationship Id="rId3" Type="http://schemas.openxmlformats.org/officeDocument/2006/relationships/hyperlink" Target="https://lcsc.com/product-detail/ESD-Protection-Devices_Brightking-Elec-TAIWAN-UDD32C03L01_C78439.html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Multilayer-Ceramic-Capacitors-MLCC-SMD-SMT_YAGEO-CC0603KRX5R7BB475_C277476.html" TargetMode="External"/><Relationship Id="rId18" Type="http://schemas.openxmlformats.org/officeDocument/2006/relationships/hyperlink" Target="https://www.lcsc.com/product-detail/Multilayer-Ceramic-Capacitors-MLCC-SMD-SMT_YAGEO-CC0603JRNPO9BN180_C107040.html" TargetMode="External"/><Relationship Id="rId26" Type="http://schemas.openxmlformats.org/officeDocument/2006/relationships/hyperlink" Target="https://www.lcsc.com/product-detail/Multilayer-Ceramic-Capacitors-MLCC-SMD-SMT_Taiyo-Yuden-EMK212BB7106MG-T_C141287.html" TargetMode="External"/><Relationship Id="rId21" Type="http://schemas.openxmlformats.org/officeDocument/2006/relationships/hyperlink" Target="https://www.lcsc.com/product-detail/Multilayer-Ceramic-Capacitors-MLCC-SMD-SMT_YAGEO-CC0402KRX5R8BB105_C326568.html" TargetMode="External"/><Relationship Id="rId34" Type="http://schemas.openxmlformats.org/officeDocument/2006/relationships/hyperlink" Target="https://www.lcsc.com/product-detail/Precision-OpAmps_Texas-Instruments-OPA344NA-250_C131974.html" TargetMode="External"/><Relationship Id="rId7" Type="http://schemas.openxmlformats.org/officeDocument/2006/relationships/hyperlink" Target="https://lcsc.com/product-detail/Digital-Transistors_Changjiang-Electronics-Tech-CJ-UMH3N_C62892.html" TargetMode="External"/><Relationship Id="rId12" Type="http://schemas.openxmlformats.org/officeDocument/2006/relationships/hyperlink" Target="https://lcsc.com/product-detail/Chip-Resistor-Surface-Mount_YAGEO-RC0603JR-075K1L_C14677.html" TargetMode="External"/><Relationship Id="rId17" Type="http://schemas.openxmlformats.org/officeDocument/2006/relationships/hyperlink" Target="https://www.lcsc.com/product-detail/Multilayer-Ceramic-Capacitors-MLCC-SMD-SMT_Taiyo-Yuden-UMK107C7224KAHTE_C386159.html" TargetMode="External"/><Relationship Id="rId25" Type="http://schemas.openxmlformats.org/officeDocument/2006/relationships/hyperlink" Target="https://www.lcsc.com/product-detail/Multilayer-Ceramic-Capacitors-MLCC-SMD-SMT_YAGEO-CC0402KRX5R7BB104_C106204.html" TargetMode="External"/><Relationship Id="rId33" Type="http://schemas.openxmlformats.org/officeDocument/2006/relationships/hyperlink" Target="https://www.lcsc.com/product-detail/Chip-Resistor-Surface-Mount_YAGEO-RC0603FR-0711K3L_C137803.html" TargetMode="External"/><Relationship Id="rId38" Type="http://schemas.openxmlformats.org/officeDocument/2006/relationships/drawing" Target="../drawings/drawing3.xml"/><Relationship Id="rId2" Type="http://schemas.openxmlformats.org/officeDocument/2006/relationships/hyperlink" Target="https://www.lcsc.com/product-detail/Tantalum-Capacitors_PANASONIC-6TPE680MI_C79115.html" TargetMode="External"/><Relationship Id="rId16" Type="http://schemas.openxmlformats.org/officeDocument/2006/relationships/hyperlink" Target="https://www.lcsc.com/product-detail/Multilayer-Ceramic-Capacitors-MLCC-SMD-SMT_YAGEO-CC0603KRX7R0BB104_C113803.html" TargetMode="External"/><Relationship Id="rId20" Type="http://schemas.openxmlformats.org/officeDocument/2006/relationships/hyperlink" Target="https://www.lcsc.com/product-detail/Multilayer-Ceramic-Capacitors-MLCC-SMD-SMT_YAGEO-CC0603JRNPO9BN100_C106245.html" TargetMode="External"/><Relationship Id="rId29" Type="http://schemas.openxmlformats.org/officeDocument/2006/relationships/hyperlink" Target="https://www.lcsc.com/product-detail/Chip-Resistor-Surface-Mount_YAGEO-RC0603FR-07300KL_C114667.html" TargetMode="External"/><Relationship Id="rId1" Type="http://schemas.openxmlformats.org/officeDocument/2006/relationships/hyperlink" Target="https://lcsc.com/product-detail/Multilayer-Ceramic-Capacitors-MLCC-SMD-SMT_YAGEO-CC0603KRX5R8BB105_C14664.html" TargetMode="External"/><Relationship Id="rId6" Type="http://schemas.openxmlformats.org/officeDocument/2006/relationships/hyperlink" Target="https://www.lcsc.com/product-detail/Pin-Headers_BOOMELE-Boom-Precision-Elec-C37208_C37208.html" TargetMode="External"/><Relationship Id="rId11" Type="http://schemas.openxmlformats.org/officeDocument/2006/relationships/hyperlink" Target="https://www.lcsc.com/product-detail/Chip-Resistor-Surface-Mount_YAGEO-RC0603FR-0710KL_C98220.html" TargetMode="External"/><Relationship Id="rId24" Type="http://schemas.openxmlformats.org/officeDocument/2006/relationships/hyperlink" Target="https://www.lcsc.com/product-detail/Multilayer-Ceramic-Capacitors-MLCC-SMD-SMT_YAGEO-CC0603JRNPO9BN270_C107045.html" TargetMode="External"/><Relationship Id="rId32" Type="http://schemas.openxmlformats.org/officeDocument/2006/relationships/hyperlink" Target="https://www.lcsc.com/product-detail/Chip-Resistor-Surface-Mount_YAGEO-RC0402FR-0710KL_C60490.html" TargetMode="External"/><Relationship Id="rId37" Type="http://schemas.openxmlformats.org/officeDocument/2006/relationships/hyperlink" Target="https://www.lcsc.com/product-detail/Crystals_JGHC-S3224576121060_C390772.html" TargetMode="External"/><Relationship Id="rId5" Type="http://schemas.openxmlformats.org/officeDocument/2006/relationships/hyperlink" Target="https://www.lcsc.com/product-detail/USB-Connectors_XKB-Connectivity-U262-061N-4BVC11_C2764612.html" TargetMode="External"/><Relationship Id="rId15" Type="http://schemas.openxmlformats.org/officeDocument/2006/relationships/hyperlink" Target="https://www.lcsc.com/product-detail/Multilayer-Ceramic-Capacitors-MLCC-SMD-SMT_YAGEO-CC0402JRNPO9BN221_C107001.html" TargetMode="External"/><Relationship Id="rId23" Type="http://schemas.openxmlformats.org/officeDocument/2006/relationships/hyperlink" Target="https://www.lcsc.com/product-detail/Multilayer-Ceramic-Capacitors-MLCC-SMD-SMT_YAGEO-CC0603KRX7R8BB101_C519410.html" TargetMode="External"/><Relationship Id="rId28" Type="http://schemas.openxmlformats.org/officeDocument/2006/relationships/hyperlink" Target="https://www.lcsc.com/product-detail/Pin-Headers_XFCN-PZ254V-11-05P_C492404.html" TargetMode="External"/><Relationship Id="rId36" Type="http://schemas.openxmlformats.org/officeDocument/2006/relationships/hyperlink" Target="https://www.lcsc.com/product-detail/Crystals_JYJE-3TJ481920NYLBC_C2898996.html" TargetMode="External"/><Relationship Id="rId10" Type="http://schemas.openxmlformats.org/officeDocument/2006/relationships/hyperlink" Target="https://www.lcsc.com/product-detail/WiFi-Modules_Espressif-Systems-ESP32-WROVER-E-N8R8_C2973667.html" TargetMode="External"/><Relationship Id="rId19" Type="http://schemas.openxmlformats.org/officeDocument/2006/relationships/hyperlink" Target="https://www.lcsc.com/product-detail/Multilayer-Ceramic-Capacitors-MLCC-SMD-SMT_Samsung-Electro-Mechanics-CL10A106MA8NRNC_C96446.html" TargetMode="External"/><Relationship Id="rId31" Type="http://schemas.openxmlformats.org/officeDocument/2006/relationships/hyperlink" Target="https://www.lcsc.com/product-detail/Chip-Resistor-Surface-Mount_YAGEO-RC0603JR-074K7L_C105428.html" TargetMode="External"/><Relationship Id="rId4" Type="http://schemas.openxmlformats.org/officeDocument/2006/relationships/hyperlink" Target="https://lcsc.com/product-detail/ESD-Protection-Devices_Leiditech-TPD1E10B06DPYR_C2972450.html" TargetMode="External"/><Relationship Id="rId9" Type="http://schemas.openxmlformats.org/officeDocument/2006/relationships/hyperlink" Target="https://lcsc.com/product-detail/Chip-Resistor-Surface-Mount_FH-Guangdong-Fenghua-Advanced-Tech-RS-03K104JT_C73806.html" TargetMode="External"/><Relationship Id="rId14" Type="http://schemas.openxmlformats.org/officeDocument/2006/relationships/hyperlink" Target="https://www.lcsc.com/product-detail/Multilayer-Ceramic-Capacitors-MLCC-SMD-SMT_Samsung-Electro-Mechanics-CL10A475KA8NQNC_C69335.html" TargetMode="External"/><Relationship Id="rId22" Type="http://schemas.openxmlformats.org/officeDocument/2006/relationships/hyperlink" Target="https://www.lcsc.com/product-detail/Multilayer-Ceramic-Capacitors-MLCC-SMD-SMT_Samsung-Electro-Mechanics-CL10A106MA8NRNC_C96446.html" TargetMode="External"/><Relationship Id="rId27" Type="http://schemas.openxmlformats.org/officeDocument/2006/relationships/hyperlink" Target="https://www.lcsc.com/product-detail/Multilayer-Ceramic-Capacitors-MLCC-SMD-SMT_YAGEO-CC0603KRX5R6BB106_C326057.html" TargetMode="External"/><Relationship Id="rId30" Type="http://schemas.openxmlformats.org/officeDocument/2006/relationships/hyperlink" Target="https://www.lcsc.com/product-detail/Chip-Resistor-Surface-Mount_YAGEO-RC0603FR-070RL_C100044.html" TargetMode="External"/><Relationship Id="rId35" Type="http://schemas.openxmlformats.org/officeDocument/2006/relationships/hyperlink" Target="https://www.lcsc.com/product-detail/Linear-Voltage-Regulators-LDO_Torex-Semicon-XC6220B331MR-G_C86534.html" TargetMode="External"/><Relationship Id="rId8" Type="http://schemas.openxmlformats.org/officeDocument/2006/relationships/hyperlink" Target="https://www.lcsc.com/product-detail/Analog-Front-End-AFEs_Texas-Instruments-PCM1865DBTR_C181312.html" TargetMode="External"/><Relationship Id="rId3" Type="http://schemas.openxmlformats.org/officeDocument/2006/relationships/hyperlink" Target="https://lcsc.com/product-detail/ESD-Protection-Devices_Brightking-Elec-TAIWAN-UDD32C03L01_C7843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8"/>
  <sheetViews>
    <sheetView tabSelected="1" topLeftCell="E8" workbookViewId="0">
      <selection activeCell="Q8" sqref="Q8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9" bestFit="1" customWidth="1"/>
    <col min="12" max="12" width="8.7109375" bestFit="1" customWidth="1"/>
    <col min="13" max="13" width="19.28515625" bestFit="1" customWidth="1"/>
    <col min="14" max="15" width="16.140625" bestFit="1" customWidth="1"/>
    <col min="16" max="16" width="19.7109375" bestFit="1" customWidth="1"/>
    <col min="17" max="17" width="20.28515625" bestFit="1" customWidth="1"/>
    <col min="18" max="18" width="8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58"/>
      <c r="L1" s="58"/>
      <c r="M1" s="58"/>
      <c r="N1" s="58"/>
      <c r="O1" s="58"/>
      <c r="P1" s="58"/>
      <c r="Q1" s="58"/>
      <c r="R1" s="58"/>
      <c r="S1" s="59"/>
    </row>
    <row r="2" spans="1:19" ht="32.25" thickBot="1" x14ac:dyDescent="0.3">
      <c r="A2" s="1"/>
      <c r="B2" s="21"/>
      <c r="C2" s="38"/>
      <c r="D2" s="11" t="s">
        <v>0</v>
      </c>
      <c r="E2" s="11"/>
      <c r="F2" s="54" t="s">
        <v>281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9"/>
      <c r="D3" s="13" t="s">
        <v>1</v>
      </c>
      <c r="E3" s="13"/>
      <c r="F3" s="55" t="s">
        <v>282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0"/>
    </row>
    <row r="4" spans="1:19" x14ac:dyDescent="0.25">
      <c r="A4" s="1"/>
      <c r="B4" s="22"/>
      <c r="C4" s="39"/>
      <c r="D4" s="13" t="s">
        <v>2</v>
      </c>
      <c r="E4" s="13"/>
      <c r="F4" s="56" t="s">
        <v>282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1"/>
    </row>
    <row r="5" spans="1:19" x14ac:dyDescent="0.25">
      <c r="A5" s="1"/>
      <c r="B5" s="22"/>
      <c r="C5" s="39"/>
      <c r="D5" s="13" t="s">
        <v>3</v>
      </c>
      <c r="E5" s="13"/>
      <c r="F5" s="57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1"/>
    </row>
    <row r="6" spans="1:19" x14ac:dyDescent="0.25">
      <c r="A6" s="1"/>
      <c r="B6" s="23"/>
      <c r="C6" s="40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1"/>
    </row>
    <row r="7" spans="1:19" x14ac:dyDescent="0.25">
      <c r="A7" s="1"/>
      <c r="B7" s="24"/>
      <c r="C7" s="41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1"/>
    </row>
    <row r="8" spans="1:19" ht="15.75" thickBot="1" x14ac:dyDescent="0.3">
      <c r="A8" s="1"/>
      <c r="B8" s="27"/>
      <c r="C8" s="42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1"/>
    </row>
    <row r="9" spans="1:19" ht="15.75" thickBot="1" x14ac:dyDescent="0.3">
      <c r="A9" s="1"/>
      <c r="B9" s="72" t="s">
        <v>4</v>
      </c>
      <c r="C9" s="30" t="s">
        <v>6</v>
      </c>
      <c r="D9" s="31" t="s">
        <v>12</v>
      </c>
      <c r="E9" s="30" t="s">
        <v>60</v>
      </c>
      <c r="F9" s="31" t="s">
        <v>106</v>
      </c>
      <c r="G9" s="30" t="s">
        <v>136</v>
      </c>
      <c r="H9" s="31" t="s">
        <v>170</v>
      </c>
      <c r="I9" s="30" t="s">
        <v>232</v>
      </c>
      <c r="J9" s="31" t="s">
        <v>188</v>
      </c>
      <c r="K9" s="30" t="s">
        <v>233</v>
      </c>
      <c r="L9" s="31" t="s">
        <v>224</v>
      </c>
      <c r="M9" s="30" t="s">
        <v>243</v>
      </c>
      <c r="N9" s="31" t="s">
        <v>244</v>
      </c>
      <c r="O9" s="30" t="s">
        <v>236</v>
      </c>
      <c r="P9" s="31" t="s">
        <v>245</v>
      </c>
      <c r="Q9" s="30" t="s">
        <v>246</v>
      </c>
      <c r="R9" s="31" t="s">
        <v>239</v>
      </c>
      <c r="S9" s="30" t="s">
        <v>240</v>
      </c>
    </row>
    <row r="10" spans="1:19" ht="36.75" thickBot="1" x14ac:dyDescent="0.3">
      <c r="A10" s="1"/>
      <c r="B10" s="37">
        <f>ROW(B10) - ROW($B$9)</f>
        <v>1</v>
      </c>
      <c r="C10" s="66" t="s">
        <v>7</v>
      </c>
      <c r="D10" s="45" t="s">
        <v>13</v>
      </c>
      <c r="E10" s="125" t="s">
        <v>61</v>
      </c>
      <c r="F10" s="45" t="s">
        <v>107</v>
      </c>
      <c r="G10" s="46" t="s">
        <v>137</v>
      </c>
      <c r="H10" s="45" t="s">
        <v>171</v>
      </c>
      <c r="I10" s="45" t="s">
        <v>249</v>
      </c>
      <c r="J10" s="45" t="s">
        <v>189</v>
      </c>
      <c r="K10" s="77" t="s">
        <v>204</v>
      </c>
      <c r="L10" s="52">
        <v>20</v>
      </c>
      <c r="M10" s="47">
        <f>L10*20</f>
        <v>400</v>
      </c>
      <c r="N10" s="45">
        <v>450</v>
      </c>
      <c r="O10" s="102" t="s">
        <v>247</v>
      </c>
      <c r="P10" s="50">
        <v>2.07E-2</v>
      </c>
      <c r="Q10" s="50">
        <f>P10*N10</f>
        <v>9.3149999999999995</v>
      </c>
      <c r="R10" s="46"/>
      <c r="S10" s="53"/>
    </row>
    <row r="11" spans="1:19" ht="15.75" thickBot="1" x14ac:dyDescent="0.3">
      <c r="A11" s="1"/>
      <c r="B11" s="37">
        <f t="shared" ref="B11:B55" si="0">ROW(B11) - ROW($B$9)</f>
        <v>2</v>
      </c>
      <c r="C11" s="67" t="s">
        <v>7</v>
      </c>
      <c r="D11" s="48" t="s">
        <v>14</v>
      </c>
      <c r="E11" s="126" t="s">
        <v>62</v>
      </c>
      <c r="F11" s="48" t="s">
        <v>108</v>
      </c>
      <c r="G11" s="49" t="s">
        <v>138</v>
      </c>
      <c r="H11" s="48" t="s">
        <v>172</v>
      </c>
      <c r="I11" s="48" t="s">
        <v>249</v>
      </c>
      <c r="J11" s="48" t="s">
        <v>270</v>
      </c>
      <c r="K11" s="78" t="s">
        <v>205</v>
      </c>
      <c r="L11" s="79">
        <v>1</v>
      </c>
      <c r="M11" s="48">
        <f t="shared" ref="M11:M56" si="1">L11*20</f>
        <v>20</v>
      </c>
      <c r="N11" s="48">
        <v>40</v>
      </c>
      <c r="O11" s="103" t="s">
        <v>247</v>
      </c>
      <c r="P11" s="51">
        <v>1.7399999999999999E-2</v>
      </c>
      <c r="Q11" s="51">
        <f t="shared" ref="Q11:Q56" si="2">P11*N11</f>
        <v>0.69599999999999995</v>
      </c>
      <c r="R11" s="49"/>
      <c r="S11" s="51"/>
    </row>
    <row r="12" spans="1:19" ht="36.75" thickBot="1" x14ac:dyDescent="0.3">
      <c r="A12" s="1"/>
      <c r="B12" s="37">
        <f>ROW(B12) - ROW($B$9)</f>
        <v>3</v>
      </c>
      <c r="C12" s="68" t="s">
        <v>7</v>
      </c>
      <c r="D12" s="45" t="s">
        <v>15</v>
      </c>
      <c r="E12" s="129" t="s">
        <v>63</v>
      </c>
      <c r="F12" s="45" t="s">
        <v>107</v>
      </c>
      <c r="G12" s="46" t="s">
        <v>139</v>
      </c>
      <c r="H12" s="45" t="s">
        <v>171</v>
      </c>
      <c r="I12" s="45" t="s">
        <v>249</v>
      </c>
      <c r="J12" s="45" t="s">
        <v>190</v>
      </c>
      <c r="K12" s="77" t="s">
        <v>206</v>
      </c>
      <c r="L12" s="81">
        <v>21</v>
      </c>
      <c r="M12" s="45">
        <f t="shared" si="1"/>
        <v>420</v>
      </c>
      <c r="N12" s="45">
        <v>500</v>
      </c>
      <c r="O12" s="85" t="s">
        <v>247</v>
      </c>
      <c r="P12" s="86">
        <v>4.4999999999999997E-3</v>
      </c>
      <c r="Q12" s="50">
        <f t="shared" si="2"/>
        <v>2.25</v>
      </c>
      <c r="R12" s="46"/>
      <c r="S12" s="50"/>
    </row>
    <row r="13" spans="1:19" ht="24.75" thickBot="1" x14ac:dyDescent="0.3">
      <c r="A13" s="1"/>
      <c r="B13" s="37">
        <f t="shared" si="0"/>
        <v>4</v>
      </c>
      <c r="C13" s="67" t="s">
        <v>7</v>
      </c>
      <c r="D13" s="48" t="s">
        <v>16</v>
      </c>
      <c r="E13" s="49" t="s">
        <v>64</v>
      </c>
      <c r="F13" s="48" t="s">
        <v>109</v>
      </c>
      <c r="G13" s="49" t="s">
        <v>140</v>
      </c>
      <c r="H13" s="48" t="s">
        <v>171</v>
      </c>
      <c r="I13" s="48" t="s">
        <v>249</v>
      </c>
      <c r="J13" s="48" t="s">
        <v>271</v>
      </c>
      <c r="K13" s="78" t="s">
        <v>207</v>
      </c>
      <c r="L13" s="48">
        <v>12</v>
      </c>
      <c r="M13" s="48">
        <f t="shared" si="1"/>
        <v>240</v>
      </c>
      <c r="N13" s="48">
        <v>300</v>
      </c>
      <c r="O13" s="103" t="s">
        <v>247</v>
      </c>
      <c r="P13" s="51">
        <v>2.5999999999999999E-3</v>
      </c>
      <c r="Q13" s="51">
        <f t="shared" si="2"/>
        <v>0.77999999999999992</v>
      </c>
      <c r="R13" s="49"/>
      <c r="S13" s="51"/>
    </row>
    <row r="14" spans="1:19" ht="15.75" thickBot="1" x14ac:dyDescent="0.3">
      <c r="A14" s="1"/>
      <c r="B14" s="37">
        <f>ROW(B14) - ROW($B$9)</f>
        <v>5</v>
      </c>
      <c r="C14" s="68" t="s">
        <v>7</v>
      </c>
      <c r="D14" s="45" t="s">
        <v>17</v>
      </c>
      <c r="E14" s="46" t="s">
        <v>65</v>
      </c>
      <c r="F14" s="45" t="s">
        <v>110</v>
      </c>
      <c r="G14" s="46" t="s">
        <v>141</v>
      </c>
      <c r="H14" s="45" t="s">
        <v>173</v>
      </c>
      <c r="I14" s="45" t="s">
        <v>249</v>
      </c>
      <c r="J14" s="45" t="s">
        <v>191</v>
      </c>
      <c r="K14" s="77" t="s">
        <v>208</v>
      </c>
      <c r="L14" s="81">
        <v>2</v>
      </c>
      <c r="M14" s="45">
        <f t="shared" si="1"/>
        <v>40</v>
      </c>
      <c r="N14" s="45">
        <v>45</v>
      </c>
      <c r="O14" s="85" t="s">
        <v>247</v>
      </c>
      <c r="P14" s="86">
        <v>1.5225</v>
      </c>
      <c r="Q14" s="50">
        <f t="shared" si="2"/>
        <v>68.512500000000003</v>
      </c>
      <c r="R14" s="46"/>
      <c r="S14" s="50"/>
    </row>
    <row r="15" spans="1:19" ht="24.75" thickBot="1" x14ac:dyDescent="0.3">
      <c r="A15" s="1"/>
      <c r="B15" s="37">
        <f t="shared" si="0"/>
        <v>6</v>
      </c>
      <c r="C15" s="69" t="s">
        <v>7</v>
      </c>
      <c r="D15" s="48" t="s">
        <v>18</v>
      </c>
      <c r="E15" s="127" t="s">
        <v>66</v>
      </c>
      <c r="F15" s="48" t="s">
        <v>108</v>
      </c>
      <c r="G15" s="49" t="s">
        <v>142</v>
      </c>
      <c r="H15" s="48" t="s">
        <v>171</v>
      </c>
      <c r="I15" s="48" t="s">
        <v>249</v>
      </c>
      <c r="J15" s="48" t="s">
        <v>272</v>
      </c>
      <c r="K15" s="78" t="s">
        <v>209</v>
      </c>
      <c r="L15" s="48">
        <v>12</v>
      </c>
      <c r="M15" s="48">
        <f t="shared" si="1"/>
        <v>240</v>
      </c>
      <c r="N15" s="48">
        <v>300</v>
      </c>
      <c r="O15" s="103" t="s">
        <v>247</v>
      </c>
      <c r="P15" s="51">
        <v>5.3E-3</v>
      </c>
      <c r="Q15" s="51">
        <f t="shared" si="2"/>
        <v>1.59</v>
      </c>
      <c r="R15" s="49"/>
      <c r="S15" s="51"/>
    </row>
    <row r="16" spans="1:19" ht="15.75" thickBot="1" x14ac:dyDescent="0.3">
      <c r="A16" s="1"/>
      <c r="B16" s="37">
        <f>ROW(B16) - ROW($B$9)</f>
        <v>7</v>
      </c>
      <c r="C16" s="70" t="s">
        <v>7</v>
      </c>
      <c r="D16" s="45" t="s">
        <v>19</v>
      </c>
      <c r="E16" s="128" t="s">
        <v>67</v>
      </c>
      <c r="F16" s="45" t="s">
        <v>107</v>
      </c>
      <c r="G16" s="46" t="s">
        <v>143</v>
      </c>
      <c r="H16" s="45" t="s">
        <v>171</v>
      </c>
      <c r="I16" s="45"/>
      <c r="J16" s="45" t="s">
        <v>192</v>
      </c>
      <c r="K16" s="77" t="s">
        <v>210</v>
      </c>
      <c r="L16" s="81">
        <v>4</v>
      </c>
      <c r="M16" s="45">
        <f t="shared" si="1"/>
        <v>80</v>
      </c>
      <c r="N16" s="45"/>
      <c r="O16" s="45"/>
      <c r="P16" s="50"/>
      <c r="Q16" s="50">
        <f t="shared" si="2"/>
        <v>0</v>
      </c>
      <c r="R16" s="46"/>
      <c r="S16" s="50"/>
    </row>
    <row r="17" spans="1:19" ht="15.75" thickBot="1" x14ac:dyDescent="0.3">
      <c r="A17" s="1"/>
      <c r="B17" s="37">
        <f t="shared" si="0"/>
        <v>8</v>
      </c>
      <c r="C17" s="67" t="s">
        <v>7</v>
      </c>
      <c r="D17" s="48" t="s">
        <v>20</v>
      </c>
      <c r="E17" s="49" t="s">
        <v>68</v>
      </c>
      <c r="F17" s="48" t="s">
        <v>108</v>
      </c>
      <c r="G17" s="49" t="s">
        <v>144</v>
      </c>
      <c r="H17" s="48" t="s">
        <v>174</v>
      </c>
      <c r="I17" s="48" t="s">
        <v>249</v>
      </c>
      <c r="J17" s="48" t="s">
        <v>273</v>
      </c>
      <c r="K17" s="78" t="s">
        <v>211</v>
      </c>
      <c r="L17" s="48">
        <v>1</v>
      </c>
      <c r="M17" s="48">
        <f t="shared" si="1"/>
        <v>20</v>
      </c>
      <c r="N17" s="48">
        <v>30</v>
      </c>
      <c r="O17" s="103" t="s">
        <v>247</v>
      </c>
      <c r="P17" s="51">
        <v>3.3500000000000002E-2</v>
      </c>
      <c r="Q17" s="51">
        <f t="shared" si="2"/>
        <v>1.0050000000000001</v>
      </c>
      <c r="R17" s="49"/>
      <c r="S17" s="51"/>
    </row>
    <row r="18" spans="1:19" ht="15.75" thickBot="1" x14ac:dyDescent="0.3">
      <c r="A18" s="1"/>
      <c r="B18" s="37">
        <f>ROW(B18) - ROW($B$9)</f>
        <v>9</v>
      </c>
      <c r="C18" s="68" t="s">
        <v>7</v>
      </c>
      <c r="D18" s="45" t="s">
        <v>21</v>
      </c>
      <c r="E18" s="46" t="s">
        <v>69</v>
      </c>
      <c r="F18" s="45" t="s">
        <v>108</v>
      </c>
      <c r="G18" s="46" t="s">
        <v>145</v>
      </c>
      <c r="H18" s="45" t="s">
        <v>171</v>
      </c>
      <c r="I18" s="45" t="s">
        <v>249</v>
      </c>
      <c r="J18" s="45" t="s">
        <v>274</v>
      </c>
      <c r="K18" s="77" t="s">
        <v>212</v>
      </c>
      <c r="L18" s="81">
        <v>6</v>
      </c>
      <c r="M18" s="45">
        <f t="shared" si="1"/>
        <v>120</v>
      </c>
      <c r="N18" s="45">
        <v>200</v>
      </c>
      <c r="O18" s="102" t="s">
        <v>247</v>
      </c>
      <c r="P18" s="50">
        <v>2.7000000000000001E-3</v>
      </c>
      <c r="Q18" s="50">
        <f t="shared" si="2"/>
        <v>0.54</v>
      </c>
      <c r="R18" s="46"/>
      <c r="S18" s="50"/>
    </row>
    <row r="19" spans="1:19" ht="15.75" thickBot="1" x14ac:dyDescent="0.3">
      <c r="A19" s="1"/>
      <c r="B19" s="37">
        <f t="shared" si="0"/>
        <v>10</v>
      </c>
      <c r="C19" s="67" t="s">
        <v>7</v>
      </c>
      <c r="D19" s="48" t="s">
        <v>22</v>
      </c>
      <c r="E19" s="132" t="s">
        <v>70</v>
      </c>
      <c r="F19" s="48" t="s">
        <v>108</v>
      </c>
      <c r="G19" s="49" t="s">
        <v>146</v>
      </c>
      <c r="H19" s="48" t="s">
        <v>172</v>
      </c>
      <c r="I19" s="48" t="s">
        <v>249</v>
      </c>
      <c r="J19" s="48" t="s">
        <v>275</v>
      </c>
      <c r="K19" s="78" t="s">
        <v>213</v>
      </c>
      <c r="L19" s="48">
        <v>2</v>
      </c>
      <c r="M19" s="48">
        <f t="shared" si="1"/>
        <v>40</v>
      </c>
      <c r="N19" s="48">
        <v>60</v>
      </c>
      <c r="O19" s="103" t="s">
        <v>247</v>
      </c>
      <c r="P19" s="51">
        <v>2.3400000000000001E-2</v>
      </c>
      <c r="Q19" s="51">
        <f t="shared" si="2"/>
        <v>1.4040000000000001</v>
      </c>
      <c r="R19" s="49"/>
      <c r="S19" s="51"/>
    </row>
    <row r="20" spans="1:19" ht="15.75" thickBot="1" x14ac:dyDescent="0.3">
      <c r="A20" s="1"/>
      <c r="B20" s="37">
        <f>ROW(B20) - ROW($B$9)</f>
        <v>11</v>
      </c>
      <c r="C20" s="68" t="s">
        <v>7</v>
      </c>
      <c r="D20" s="45" t="s">
        <v>23</v>
      </c>
      <c r="E20" s="46" t="s">
        <v>71</v>
      </c>
      <c r="F20" s="45" t="s">
        <v>107</v>
      </c>
      <c r="G20" s="46" t="s">
        <v>147</v>
      </c>
      <c r="H20" s="45" t="s">
        <v>171</v>
      </c>
      <c r="I20" s="45"/>
      <c r="J20" s="45" t="s">
        <v>193</v>
      </c>
      <c r="K20" s="77" t="s">
        <v>214</v>
      </c>
      <c r="L20" s="81">
        <v>4</v>
      </c>
      <c r="M20" s="45">
        <f t="shared" si="1"/>
        <v>80</v>
      </c>
      <c r="N20" s="45">
        <v>100</v>
      </c>
      <c r="O20" s="102" t="s">
        <v>247</v>
      </c>
      <c r="P20" s="50">
        <v>2.5000000000000001E-3</v>
      </c>
      <c r="Q20" s="50">
        <f t="shared" si="2"/>
        <v>0.25</v>
      </c>
      <c r="R20" s="46"/>
      <c r="S20" s="50"/>
    </row>
    <row r="21" spans="1:19" ht="48.75" thickBot="1" x14ac:dyDescent="0.3">
      <c r="A21" s="1"/>
      <c r="B21" s="37">
        <f t="shared" si="0"/>
        <v>12</v>
      </c>
      <c r="C21" s="69" t="s">
        <v>7</v>
      </c>
      <c r="D21" s="48" t="s">
        <v>24</v>
      </c>
      <c r="E21" s="130" t="s">
        <v>72</v>
      </c>
      <c r="F21" s="48" t="s">
        <v>111</v>
      </c>
      <c r="G21" s="49" t="s">
        <v>148</v>
      </c>
      <c r="H21" s="48" t="s">
        <v>171</v>
      </c>
      <c r="I21" s="48"/>
      <c r="J21" s="48" t="s">
        <v>194</v>
      </c>
      <c r="K21" s="78" t="s">
        <v>206</v>
      </c>
      <c r="L21" s="48">
        <v>22</v>
      </c>
      <c r="M21" s="48">
        <f t="shared" si="1"/>
        <v>440</v>
      </c>
      <c r="N21" s="48">
        <v>500</v>
      </c>
      <c r="O21" s="103" t="s">
        <v>247</v>
      </c>
      <c r="P21" s="51">
        <v>7.4000000000000003E-3</v>
      </c>
      <c r="Q21" s="51">
        <f t="shared" si="2"/>
        <v>3.7</v>
      </c>
      <c r="R21" s="49"/>
      <c r="S21" s="51"/>
    </row>
    <row r="22" spans="1:19" ht="15.75" thickBot="1" x14ac:dyDescent="0.3">
      <c r="A22" s="1"/>
      <c r="B22" s="37">
        <f>ROW(B22) - ROW($B$9)</f>
        <v>13</v>
      </c>
      <c r="C22" s="70" t="s">
        <v>7</v>
      </c>
      <c r="D22" s="45" t="s">
        <v>25</v>
      </c>
      <c r="E22" s="131" t="s">
        <v>70</v>
      </c>
      <c r="F22" s="45" t="s">
        <v>108</v>
      </c>
      <c r="G22" s="46" t="s">
        <v>146</v>
      </c>
      <c r="H22" s="45" t="s">
        <v>172</v>
      </c>
      <c r="I22" s="45"/>
      <c r="J22" s="45" t="s">
        <v>275</v>
      </c>
      <c r="K22" s="77" t="s">
        <v>213</v>
      </c>
      <c r="L22" s="81">
        <v>1</v>
      </c>
      <c r="M22" s="45">
        <f t="shared" si="1"/>
        <v>20</v>
      </c>
      <c r="N22" s="45">
        <v>40</v>
      </c>
      <c r="O22" s="102" t="s">
        <v>247</v>
      </c>
      <c r="P22" s="50">
        <v>2.3400000000000001E-2</v>
      </c>
      <c r="Q22" s="50">
        <f t="shared" si="2"/>
        <v>0.93600000000000005</v>
      </c>
      <c r="R22" s="46"/>
      <c r="S22" s="50"/>
    </row>
    <row r="23" spans="1:19" ht="15.75" thickBot="1" x14ac:dyDescent="0.3">
      <c r="A23" s="1"/>
      <c r="B23" s="37">
        <f t="shared" si="0"/>
        <v>14</v>
      </c>
      <c r="C23" s="67" t="s">
        <v>7</v>
      </c>
      <c r="D23" s="48" t="s">
        <v>26</v>
      </c>
      <c r="E23" s="49" t="s">
        <v>73</v>
      </c>
      <c r="F23" s="48" t="s">
        <v>108</v>
      </c>
      <c r="G23" s="49" t="s">
        <v>149</v>
      </c>
      <c r="H23" s="48" t="s">
        <v>171</v>
      </c>
      <c r="I23" s="48"/>
      <c r="J23" s="48" t="s">
        <v>276</v>
      </c>
      <c r="K23" s="78" t="s">
        <v>215</v>
      </c>
      <c r="L23" s="48">
        <v>1</v>
      </c>
      <c r="M23" s="48">
        <f t="shared" si="1"/>
        <v>20</v>
      </c>
      <c r="N23" s="48">
        <v>100</v>
      </c>
      <c r="O23" s="103" t="s">
        <v>247</v>
      </c>
      <c r="P23" s="51">
        <v>3.0999999999999999E-3</v>
      </c>
      <c r="Q23" s="51">
        <f t="shared" si="2"/>
        <v>0.31</v>
      </c>
      <c r="R23" s="49"/>
      <c r="S23" s="51"/>
    </row>
    <row r="24" spans="1:19" ht="24.75" thickBot="1" x14ac:dyDescent="0.3">
      <c r="A24" s="1"/>
      <c r="B24" s="37">
        <f>ROW(B24) - ROW($B$9)</f>
        <v>15</v>
      </c>
      <c r="C24" s="68" t="s">
        <v>7</v>
      </c>
      <c r="D24" s="45" t="s">
        <v>27</v>
      </c>
      <c r="E24" s="46" t="s">
        <v>74</v>
      </c>
      <c r="F24" s="45" t="s">
        <v>107</v>
      </c>
      <c r="G24" s="46" t="s">
        <v>150</v>
      </c>
      <c r="H24" s="45" t="s">
        <v>171</v>
      </c>
      <c r="I24" s="45"/>
      <c r="J24" s="45" t="s">
        <v>195</v>
      </c>
      <c r="K24" s="77" t="s">
        <v>216</v>
      </c>
      <c r="L24" s="81">
        <v>8</v>
      </c>
      <c r="M24" s="45">
        <f t="shared" si="1"/>
        <v>160</v>
      </c>
      <c r="N24" s="45">
        <v>200</v>
      </c>
      <c r="O24" s="102" t="s">
        <v>247</v>
      </c>
      <c r="P24" s="50">
        <v>2.5000000000000001E-3</v>
      </c>
      <c r="Q24" s="50">
        <f t="shared" si="2"/>
        <v>0.5</v>
      </c>
      <c r="R24" s="46"/>
      <c r="S24" s="50"/>
    </row>
    <row r="25" spans="1:19" ht="15.75" thickBot="1" x14ac:dyDescent="0.3">
      <c r="A25" s="1"/>
      <c r="B25" s="37">
        <f t="shared" si="0"/>
        <v>16</v>
      </c>
      <c r="C25" s="67" t="s">
        <v>7</v>
      </c>
      <c r="D25" s="48" t="s">
        <v>28</v>
      </c>
      <c r="E25" s="132" t="s">
        <v>70</v>
      </c>
      <c r="F25" s="48" t="s">
        <v>107</v>
      </c>
      <c r="G25" s="49" t="s">
        <v>151</v>
      </c>
      <c r="H25" s="48" t="s">
        <v>175</v>
      </c>
      <c r="I25" s="48"/>
      <c r="J25" s="48" t="s">
        <v>196</v>
      </c>
      <c r="K25" s="78" t="s">
        <v>213</v>
      </c>
      <c r="L25" s="48">
        <v>4</v>
      </c>
      <c r="M25" s="48">
        <f t="shared" si="1"/>
        <v>80</v>
      </c>
      <c r="N25" s="48"/>
      <c r="O25" s="48"/>
      <c r="P25" s="51"/>
      <c r="Q25" s="51">
        <f t="shared" si="2"/>
        <v>0</v>
      </c>
      <c r="R25" s="49"/>
      <c r="S25" s="51"/>
    </row>
    <row r="26" spans="1:19" ht="24.75" thickBot="1" x14ac:dyDescent="0.3">
      <c r="A26" s="1"/>
      <c r="B26" s="37">
        <f>ROW(B26) - ROW($B$9)</f>
        <v>17</v>
      </c>
      <c r="C26" s="68" t="s">
        <v>7</v>
      </c>
      <c r="D26" s="45" t="s">
        <v>29</v>
      </c>
      <c r="E26" s="127" t="s">
        <v>75</v>
      </c>
      <c r="F26" s="45" t="s">
        <v>111</v>
      </c>
      <c r="G26" s="46" t="s">
        <v>152</v>
      </c>
      <c r="H26" s="45" t="s">
        <v>171</v>
      </c>
      <c r="I26" s="45"/>
      <c r="J26" s="45" t="s">
        <v>197</v>
      </c>
      <c r="K26" s="77" t="s">
        <v>210</v>
      </c>
      <c r="L26" s="81">
        <v>8</v>
      </c>
      <c r="M26" s="45">
        <f t="shared" si="1"/>
        <v>160</v>
      </c>
      <c r="N26" s="45">
        <v>200</v>
      </c>
      <c r="O26" s="102" t="s">
        <v>247</v>
      </c>
      <c r="P26" s="50">
        <v>1E-3</v>
      </c>
      <c r="Q26" s="50">
        <f t="shared" si="2"/>
        <v>0.2</v>
      </c>
      <c r="R26" s="46"/>
      <c r="S26" s="50"/>
    </row>
    <row r="27" spans="1:19" ht="24.75" thickBot="1" x14ac:dyDescent="0.3">
      <c r="A27" s="1"/>
      <c r="B27" s="37">
        <f t="shared" si="0"/>
        <v>18</v>
      </c>
      <c r="C27" s="69" t="s">
        <v>7</v>
      </c>
      <c r="D27" s="48" t="s">
        <v>30</v>
      </c>
      <c r="E27" s="132" t="s">
        <v>76</v>
      </c>
      <c r="F27" s="48" t="s">
        <v>112</v>
      </c>
      <c r="G27" s="49" t="s">
        <v>153</v>
      </c>
      <c r="H27" s="48" t="s">
        <v>174</v>
      </c>
      <c r="I27" s="48"/>
      <c r="J27" s="48" t="s">
        <v>277</v>
      </c>
      <c r="K27" s="78" t="s">
        <v>213</v>
      </c>
      <c r="L27" s="48">
        <v>8</v>
      </c>
      <c r="M27" s="48">
        <f t="shared" si="1"/>
        <v>160</v>
      </c>
      <c r="N27" s="48">
        <v>170</v>
      </c>
      <c r="O27" s="103" t="s">
        <v>247</v>
      </c>
      <c r="P27" s="51">
        <v>6.7199999999999996E-2</v>
      </c>
      <c r="Q27" s="51">
        <f t="shared" si="2"/>
        <v>11.423999999999999</v>
      </c>
      <c r="R27" s="49"/>
      <c r="S27" s="51"/>
    </row>
    <row r="28" spans="1:19" ht="15.75" thickBot="1" x14ac:dyDescent="0.3">
      <c r="A28" s="1"/>
      <c r="B28" s="37">
        <f>ROW(B28) - ROW($B$9)</f>
        <v>19</v>
      </c>
      <c r="C28" s="70" t="s">
        <v>7</v>
      </c>
      <c r="D28" s="45" t="s">
        <v>31</v>
      </c>
      <c r="E28" s="131" t="s">
        <v>77</v>
      </c>
      <c r="F28" s="45" t="s">
        <v>107</v>
      </c>
      <c r="G28" s="46" t="s">
        <v>154</v>
      </c>
      <c r="H28" s="45" t="s">
        <v>171</v>
      </c>
      <c r="I28" s="45"/>
      <c r="J28" s="45" t="s">
        <v>198</v>
      </c>
      <c r="K28" s="77" t="s">
        <v>213</v>
      </c>
      <c r="L28" s="81">
        <v>4</v>
      </c>
      <c r="M28" s="45">
        <f t="shared" si="1"/>
        <v>80</v>
      </c>
      <c r="N28" s="45">
        <v>100</v>
      </c>
      <c r="O28" s="102" t="s">
        <v>247</v>
      </c>
      <c r="P28" s="50">
        <v>2.4299999999999999E-2</v>
      </c>
      <c r="Q28" s="50">
        <f t="shared" si="2"/>
        <v>2.4299999999999997</v>
      </c>
      <c r="R28" s="46"/>
      <c r="S28" s="50"/>
    </row>
    <row r="29" spans="1:19" ht="24.75" thickBot="1" x14ac:dyDescent="0.3">
      <c r="A29" s="1"/>
      <c r="B29" s="37">
        <f t="shared" si="0"/>
        <v>20</v>
      </c>
      <c r="C29" s="67" t="s">
        <v>225</v>
      </c>
      <c r="D29" s="48" t="s">
        <v>32</v>
      </c>
      <c r="E29" s="49" t="s">
        <v>78</v>
      </c>
      <c r="F29" s="48" t="s">
        <v>248</v>
      </c>
      <c r="G29" s="48" t="s">
        <v>113</v>
      </c>
      <c r="H29" s="48" t="s">
        <v>176</v>
      </c>
      <c r="I29" s="48"/>
      <c r="J29" s="49" t="s">
        <v>250</v>
      </c>
      <c r="K29" s="78" t="s">
        <v>249</v>
      </c>
      <c r="L29" s="48">
        <v>1</v>
      </c>
      <c r="M29" s="48">
        <f t="shared" si="1"/>
        <v>20</v>
      </c>
      <c r="N29" s="48">
        <v>30</v>
      </c>
      <c r="O29" s="83" t="s">
        <v>247</v>
      </c>
      <c r="P29" s="84">
        <v>3.9800000000000002E-2</v>
      </c>
      <c r="Q29" s="51">
        <f t="shared" si="2"/>
        <v>1.194</v>
      </c>
      <c r="R29" s="49"/>
      <c r="S29" s="51"/>
    </row>
    <row r="30" spans="1:19" ht="24.75" thickBot="1" x14ac:dyDescent="0.3">
      <c r="A30" s="1"/>
      <c r="B30" s="37">
        <f>ROW(B30) - ROW($B$9)</f>
        <v>21</v>
      </c>
      <c r="C30" s="68" t="s">
        <v>225</v>
      </c>
      <c r="D30" s="45" t="s">
        <v>33</v>
      </c>
      <c r="E30" s="46" t="s">
        <v>79</v>
      </c>
      <c r="F30" s="45" t="s">
        <v>114</v>
      </c>
      <c r="G30" s="46" t="s">
        <v>155</v>
      </c>
      <c r="H30" s="45" t="s">
        <v>177</v>
      </c>
      <c r="I30" s="45"/>
      <c r="J30" s="87" t="s">
        <v>251</v>
      </c>
      <c r="K30" s="77" t="s">
        <v>249</v>
      </c>
      <c r="L30" s="81">
        <v>1</v>
      </c>
      <c r="M30" s="45">
        <f t="shared" si="1"/>
        <v>20</v>
      </c>
      <c r="N30" s="45">
        <v>30</v>
      </c>
      <c r="O30" s="85" t="s">
        <v>247</v>
      </c>
      <c r="P30" s="86">
        <v>3.1800000000000002E-2</v>
      </c>
      <c r="Q30" s="50">
        <f t="shared" si="2"/>
        <v>0.95400000000000007</v>
      </c>
      <c r="R30" s="46"/>
      <c r="S30" s="50"/>
    </row>
    <row r="31" spans="1:19" ht="15.75" thickBot="1" x14ac:dyDescent="0.3">
      <c r="A31" s="1"/>
      <c r="B31" s="37">
        <f t="shared" si="0"/>
        <v>22</v>
      </c>
      <c r="C31" s="67" t="s">
        <v>226</v>
      </c>
      <c r="D31" s="48" t="s">
        <v>34</v>
      </c>
      <c r="E31" s="49" t="s">
        <v>80</v>
      </c>
      <c r="F31" s="48" t="s">
        <v>115</v>
      </c>
      <c r="G31" s="89" t="s">
        <v>156</v>
      </c>
      <c r="H31" s="48" t="s">
        <v>178</v>
      </c>
      <c r="I31" s="48" t="s">
        <v>252</v>
      </c>
      <c r="J31" s="88" t="s">
        <v>253</v>
      </c>
      <c r="K31" s="78" t="s">
        <v>249</v>
      </c>
      <c r="L31" s="48">
        <v>1</v>
      </c>
      <c r="M31" s="48">
        <f t="shared" si="1"/>
        <v>20</v>
      </c>
      <c r="N31" s="48">
        <v>40</v>
      </c>
      <c r="O31" s="103" t="s">
        <v>247</v>
      </c>
      <c r="P31" s="51">
        <v>2.3699999999999999E-2</v>
      </c>
      <c r="Q31" s="51">
        <f t="shared" si="2"/>
        <v>0.94799999999999995</v>
      </c>
      <c r="R31" s="49"/>
      <c r="S31" s="51"/>
    </row>
    <row r="32" spans="1:19" ht="36.75" thickBot="1" x14ac:dyDescent="0.3">
      <c r="A32" s="1"/>
      <c r="B32" s="37">
        <f>ROW(B32) - ROW($B$9)</f>
        <v>23</v>
      </c>
      <c r="C32" s="68" t="s">
        <v>8</v>
      </c>
      <c r="D32" s="45" t="s">
        <v>35</v>
      </c>
      <c r="E32" s="46" t="s">
        <v>81</v>
      </c>
      <c r="F32" s="45" t="s">
        <v>254</v>
      </c>
      <c r="G32" s="46" t="s">
        <v>116</v>
      </c>
      <c r="H32" s="45" t="s">
        <v>179</v>
      </c>
      <c r="I32" s="45"/>
      <c r="J32" s="45" t="s">
        <v>199</v>
      </c>
      <c r="K32" s="77" t="s">
        <v>249</v>
      </c>
      <c r="L32" s="81">
        <v>1</v>
      </c>
      <c r="M32" s="45">
        <f t="shared" si="1"/>
        <v>20</v>
      </c>
      <c r="N32" s="45">
        <v>30</v>
      </c>
      <c r="O32" s="90" t="s">
        <v>247</v>
      </c>
      <c r="P32" s="86">
        <v>5.5599999999999997E-2</v>
      </c>
      <c r="Q32" s="50">
        <f t="shared" si="2"/>
        <v>1.6679999999999999</v>
      </c>
      <c r="R32" s="46"/>
      <c r="S32" s="50"/>
    </row>
    <row r="33" spans="1:19" ht="24.75" thickBot="1" x14ac:dyDescent="0.3">
      <c r="A33" s="1"/>
      <c r="B33" s="37">
        <f t="shared" si="0"/>
        <v>24</v>
      </c>
      <c r="C33" s="67" t="s">
        <v>9</v>
      </c>
      <c r="D33" s="48" t="s">
        <v>36</v>
      </c>
      <c r="E33" s="49" t="s">
        <v>82</v>
      </c>
      <c r="F33" s="48" t="s">
        <v>254</v>
      </c>
      <c r="G33" s="49" t="s">
        <v>117</v>
      </c>
      <c r="H33" s="48" t="s">
        <v>180</v>
      </c>
      <c r="I33" s="48"/>
      <c r="J33" s="48"/>
      <c r="K33" s="78" t="s">
        <v>249</v>
      </c>
      <c r="L33" s="48">
        <v>8</v>
      </c>
      <c r="M33" s="48">
        <f t="shared" si="1"/>
        <v>160</v>
      </c>
      <c r="N33" s="48"/>
      <c r="O33" s="91" t="s">
        <v>255</v>
      </c>
      <c r="P33" s="92">
        <v>2</v>
      </c>
      <c r="Q33" s="51">
        <f t="shared" si="2"/>
        <v>0</v>
      </c>
      <c r="R33" s="49"/>
      <c r="S33" s="51"/>
    </row>
    <row r="34" spans="1:19" ht="15.75" thickBot="1" x14ac:dyDescent="0.3">
      <c r="A34" s="1"/>
      <c r="B34" s="37">
        <f>ROW(B34) - ROW($B$9)</f>
        <v>25</v>
      </c>
      <c r="C34" s="71" t="s">
        <v>9</v>
      </c>
      <c r="D34" s="45" t="s">
        <v>37</v>
      </c>
      <c r="E34" s="46" t="s">
        <v>83</v>
      </c>
      <c r="F34" s="45" t="s">
        <v>254</v>
      </c>
      <c r="G34" s="46" t="s">
        <v>118</v>
      </c>
      <c r="H34" s="45" t="s">
        <v>180</v>
      </c>
      <c r="I34" s="45"/>
      <c r="J34" s="45"/>
      <c r="K34" s="77" t="s">
        <v>249</v>
      </c>
      <c r="L34" s="81">
        <v>4</v>
      </c>
      <c r="M34" s="45">
        <f t="shared" si="1"/>
        <v>80</v>
      </c>
      <c r="N34" s="45"/>
      <c r="O34" s="45"/>
      <c r="P34" s="50"/>
      <c r="Q34" s="50">
        <f t="shared" si="2"/>
        <v>0</v>
      </c>
      <c r="R34" s="46"/>
      <c r="S34" s="50"/>
    </row>
    <row r="35" spans="1:19" ht="15.75" thickBot="1" x14ac:dyDescent="0.3">
      <c r="A35" s="1"/>
      <c r="B35" s="37">
        <f t="shared" si="0"/>
        <v>26</v>
      </c>
      <c r="C35" s="67" t="s">
        <v>226</v>
      </c>
      <c r="D35" s="48" t="s">
        <v>38</v>
      </c>
      <c r="E35" s="49" t="s">
        <v>84</v>
      </c>
      <c r="F35" s="48" t="s">
        <v>119</v>
      </c>
      <c r="G35" s="89">
        <v>61300611121</v>
      </c>
      <c r="H35" s="48" t="s">
        <v>181</v>
      </c>
      <c r="I35" s="48" t="s">
        <v>256</v>
      </c>
      <c r="J35" s="94" t="s">
        <v>256</v>
      </c>
      <c r="K35" s="78" t="s">
        <v>249</v>
      </c>
      <c r="L35" s="48">
        <v>1</v>
      </c>
      <c r="M35" s="48">
        <f t="shared" si="1"/>
        <v>20</v>
      </c>
      <c r="N35" s="48">
        <v>40</v>
      </c>
      <c r="O35" s="91" t="s">
        <v>247</v>
      </c>
      <c r="P35" s="84">
        <v>2.7300000000000001E-2</v>
      </c>
      <c r="Q35" s="51">
        <f t="shared" si="2"/>
        <v>1.0920000000000001</v>
      </c>
      <c r="R35" s="49"/>
      <c r="S35" s="51"/>
    </row>
    <row r="36" spans="1:19" ht="15.75" thickBot="1" x14ac:dyDescent="0.3">
      <c r="A36" s="1"/>
      <c r="B36" s="37">
        <f>ROW(B36) - ROW($B$9)</f>
        <v>27</v>
      </c>
      <c r="C36" s="71" t="s">
        <v>227</v>
      </c>
      <c r="D36" s="45" t="s">
        <v>39</v>
      </c>
      <c r="E36" s="46" t="s">
        <v>85</v>
      </c>
      <c r="F36" s="45" t="s">
        <v>254</v>
      </c>
      <c r="G36" s="45" t="s">
        <v>120</v>
      </c>
      <c r="H36" s="45" t="s">
        <v>249</v>
      </c>
      <c r="I36" s="45" t="s">
        <v>249</v>
      </c>
      <c r="J36" s="45" t="s">
        <v>249</v>
      </c>
      <c r="K36" s="77" t="s">
        <v>249</v>
      </c>
      <c r="L36" s="81">
        <v>5</v>
      </c>
      <c r="M36" s="45">
        <f t="shared" si="1"/>
        <v>100</v>
      </c>
      <c r="N36" s="45" t="s">
        <v>249</v>
      </c>
      <c r="O36" s="45" t="s">
        <v>249</v>
      </c>
      <c r="P36" s="50" t="s">
        <v>249</v>
      </c>
      <c r="Q36" s="50" t="s">
        <v>249</v>
      </c>
      <c r="R36" s="46"/>
      <c r="S36" s="50"/>
    </row>
    <row r="37" spans="1:19" ht="15.75" thickBot="1" x14ac:dyDescent="0.3">
      <c r="A37" s="1"/>
      <c r="B37" s="37">
        <f t="shared" si="0"/>
        <v>28</v>
      </c>
      <c r="C37" s="67" t="s">
        <v>228</v>
      </c>
      <c r="D37" s="48" t="s">
        <v>40</v>
      </c>
      <c r="E37" s="49" t="s">
        <v>86</v>
      </c>
      <c r="F37" s="48" t="s">
        <v>121</v>
      </c>
      <c r="G37" s="89" t="s">
        <v>157</v>
      </c>
      <c r="H37" s="49" t="s">
        <v>178</v>
      </c>
      <c r="I37" s="100" t="s">
        <v>263</v>
      </c>
      <c r="J37" s="94" t="s">
        <v>264</v>
      </c>
      <c r="K37" s="78" t="s">
        <v>217</v>
      </c>
      <c r="L37" s="48">
        <v>3</v>
      </c>
      <c r="M37" s="48">
        <f t="shared" si="1"/>
        <v>60</v>
      </c>
      <c r="N37" s="48">
        <v>100</v>
      </c>
      <c r="O37" s="91" t="s">
        <v>247</v>
      </c>
      <c r="P37" s="84">
        <v>6.9999999999999999E-4</v>
      </c>
      <c r="Q37" s="51">
        <f t="shared" si="2"/>
        <v>6.9999999999999993E-2</v>
      </c>
      <c r="R37" s="49"/>
      <c r="S37" s="51"/>
    </row>
    <row r="38" spans="1:19" ht="15.75" thickBot="1" x14ac:dyDescent="0.3">
      <c r="A38" s="1"/>
      <c r="B38" s="37">
        <f>ROW(B38) - ROW($B$9)</f>
        <v>29</v>
      </c>
      <c r="C38" s="68" t="s">
        <v>228</v>
      </c>
      <c r="D38" s="45" t="s">
        <v>41</v>
      </c>
      <c r="E38" s="46" t="s">
        <v>87</v>
      </c>
      <c r="F38" s="45" t="s">
        <v>122</v>
      </c>
      <c r="G38" s="46" t="s">
        <v>158</v>
      </c>
      <c r="H38" s="45" t="s">
        <v>171</v>
      </c>
      <c r="I38" s="45" t="s">
        <v>249</v>
      </c>
      <c r="J38" s="45" t="s">
        <v>278</v>
      </c>
      <c r="K38" s="77" t="s">
        <v>218</v>
      </c>
      <c r="L38" s="81">
        <v>8</v>
      </c>
      <c r="M38" s="45">
        <f t="shared" si="1"/>
        <v>160</v>
      </c>
      <c r="N38" s="45">
        <v>200</v>
      </c>
      <c r="O38" s="102" t="s">
        <v>247</v>
      </c>
      <c r="P38" s="50">
        <v>1.1000000000000001E-3</v>
      </c>
      <c r="Q38" s="50">
        <f t="shared" si="2"/>
        <v>0.22</v>
      </c>
      <c r="R38" s="46"/>
      <c r="S38" s="50"/>
    </row>
    <row r="39" spans="1:19" ht="15.75" thickBot="1" x14ac:dyDescent="0.3">
      <c r="A39" s="1"/>
      <c r="B39" s="37">
        <f t="shared" si="0"/>
        <v>30</v>
      </c>
      <c r="C39" s="67" t="s">
        <v>228</v>
      </c>
      <c r="D39" s="48" t="s">
        <v>42</v>
      </c>
      <c r="E39" s="49" t="s">
        <v>88</v>
      </c>
      <c r="F39" s="48" t="s">
        <v>121</v>
      </c>
      <c r="G39" s="49" t="s">
        <v>159</v>
      </c>
      <c r="H39" s="48" t="s">
        <v>171</v>
      </c>
      <c r="I39" s="48" t="s">
        <v>249</v>
      </c>
      <c r="J39" s="94" t="s">
        <v>268</v>
      </c>
      <c r="K39" s="78" t="s">
        <v>219</v>
      </c>
      <c r="L39" s="48">
        <v>3</v>
      </c>
      <c r="M39" s="48">
        <f t="shared" si="1"/>
        <v>60</v>
      </c>
      <c r="N39" s="48">
        <v>100</v>
      </c>
      <c r="O39" s="103" t="s">
        <v>247</v>
      </c>
      <c r="P39" s="51">
        <v>1E-3</v>
      </c>
      <c r="Q39" s="51">
        <f t="shared" si="2"/>
        <v>0.1</v>
      </c>
      <c r="R39" s="49"/>
      <c r="S39" s="51"/>
    </row>
    <row r="40" spans="1:19" ht="24.75" thickBot="1" x14ac:dyDescent="0.3">
      <c r="A40" s="1"/>
      <c r="B40" s="37">
        <f>ROW(B40) - ROW($B$9)</f>
        <v>31</v>
      </c>
      <c r="C40" s="68" t="s">
        <v>228</v>
      </c>
      <c r="D40" s="45" t="s">
        <v>43</v>
      </c>
      <c r="E40" s="46" t="s">
        <v>89</v>
      </c>
      <c r="F40" s="45" t="s">
        <v>122</v>
      </c>
      <c r="G40" s="46" t="s">
        <v>160</v>
      </c>
      <c r="H40" s="45" t="s">
        <v>171</v>
      </c>
      <c r="I40" s="45" t="s">
        <v>249</v>
      </c>
      <c r="J40" s="45" t="s">
        <v>200</v>
      </c>
      <c r="K40" s="77" t="s">
        <v>220</v>
      </c>
      <c r="L40" s="81">
        <v>10</v>
      </c>
      <c r="M40" s="45">
        <f t="shared" si="1"/>
        <v>200</v>
      </c>
      <c r="N40" s="45">
        <v>300</v>
      </c>
      <c r="O40" s="102" t="s">
        <v>247</v>
      </c>
      <c r="P40" s="50">
        <v>8.9999999999999998E-4</v>
      </c>
      <c r="Q40" s="50">
        <f t="shared" si="2"/>
        <v>0.27</v>
      </c>
      <c r="R40" s="46"/>
      <c r="S40" s="50"/>
    </row>
    <row r="41" spans="1:19" ht="15.75" thickBot="1" x14ac:dyDescent="0.3">
      <c r="A41" s="1"/>
      <c r="B41" s="37">
        <f t="shared" si="0"/>
        <v>32</v>
      </c>
      <c r="C41" s="67" t="s">
        <v>228</v>
      </c>
      <c r="D41" s="48" t="s">
        <v>44</v>
      </c>
      <c r="E41" s="49" t="s">
        <v>90</v>
      </c>
      <c r="F41" s="48" t="s">
        <v>121</v>
      </c>
      <c r="G41" s="49" t="s">
        <v>161</v>
      </c>
      <c r="H41" s="48" t="s">
        <v>171</v>
      </c>
      <c r="I41" s="48"/>
      <c r="J41" s="94" t="s">
        <v>269</v>
      </c>
      <c r="K41" s="78" t="s">
        <v>221</v>
      </c>
      <c r="L41" s="48">
        <v>2</v>
      </c>
      <c r="M41" s="48">
        <f t="shared" si="1"/>
        <v>40</v>
      </c>
      <c r="N41" s="48">
        <v>100</v>
      </c>
      <c r="O41" s="101" t="s">
        <v>247</v>
      </c>
      <c r="P41" s="84">
        <v>1E-3</v>
      </c>
      <c r="Q41" s="51">
        <f t="shared" si="2"/>
        <v>0.1</v>
      </c>
      <c r="R41" s="49"/>
      <c r="S41" s="51"/>
    </row>
    <row r="42" spans="1:19" ht="36.75" thickBot="1" x14ac:dyDescent="0.3">
      <c r="A42" s="1"/>
      <c r="B42" s="37">
        <f>ROW(B42) - ROW($B$9)</f>
        <v>33</v>
      </c>
      <c r="C42" s="68" t="s">
        <v>228</v>
      </c>
      <c r="D42" s="45" t="s">
        <v>45</v>
      </c>
      <c r="E42" s="133" t="s">
        <v>91</v>
      </c>
      <c r="F42" s="45" t="s">
        <v>123</v>
      </c>
      <c r="G42" s="46" t="s">
        <v>162</v>
      </c>
      <c r="H42" s="45" t="s">
        <v>171</v>
      </c>
      <c r="I42" s="45" t="s">
        <v>249</v>
      </c>
      <c r="J42" s="45" t="s">
        <v>201</v>
      </c>
      <c r="K42" s="77" t="s">
        <v>222</v>
      </c>
      <c r="L42" s="81">
        <v>16</v>
      </c>
      <c r="M42" s="45">
        <f t="shared" si="1"/>
        <v>320</v>
      </c>
      <c r="N42" s="45">
        <v>400</v>
      </c>
      <c r="O42" s="102" t="s">
        <v>247</v>
      </c>
      <c r="P42" s="50">
        <v>5.9999999999999995E-4</v>
      </c>
      <c r="Q42" s="50">
        <f t="shared" si="2"/>
        <v>0.24</v>
      </c>
      <c r="R42" s="46"/>
      <c r="S42" s="50"/>
    </row>
    <row r="43" spans="1:19" ht="15.75" thickBot="1" x14ac:dyDescent="0.3">
      <c r="A43" s="1"/>
      <c r="B43" s="37">
        <f t="shared" si="0"/>
        <v>34</v>
      </c>
      <c r="C43" s="67" t="s">
        <v>228</v>
      </c>
      <c r="D43" s="48" t="s">
        <v>46</v>
      </c>
      <c r="E43" s="134" t="s">
        <v>92</v>
      </c>
      <c r="F43" s="48" t="s">
        <v>121</v>
      </c>
      <c r="G43" s="49" t="s">
        <v>163</v>
      </c>
      <c r="H43" s="48" t="s">
        <v>171</v>
      </c>
      <c r="I43" s="48" t="s">
        <v>249</v>
      </c>
      <c r="J43" s="94" t="s">
        <v>267</v>
      </c>
      <c r="K43" s="78" t="s">
        <v>222</v>
      </c>
      <c r="L43" s="48">
        <v>1</v>
      </c>
      <c r="M43" s="48">
        <f t="shared" si="1"/>
        <v>20</v>
      </c>
      <c r="N43" s="48">
        <v>100</v>
      </c>
      <c r="O43" s="91" t="s">
        <v>247</v>
      </c>
      <c r="P43" s="84">
        <v>1E-3</v>
      </c>
      <c r="Q43" s="51">
        <f t="shared" si="2"/>
        <v>0.1</v>
      </c>
      <c r="R43" s="49"/>
      <c r="S43" s="51"/>
    </row>
    <row r="44" spans="1:19" ht="15.75" thickBot="1" x14ac:dyDescent="0.3">
      <c r="A44" s="1"/>
      <c r="B44" s="37">
        <f>ROW(B44) - ROW($B$9)</f>
        <v>35</v>
      </c>
      <c r="C44" s="68" t="s">
        <v>228</v>
      </c>
      <c r="D44" s="45" t="s">
        <v>47</v>
      </c>
      <c r="E44" s="46" t="s">
        <v>93</v>
      </c>
      <c r="F44" s="45" t="s">
        <v>122</v>
      </c>
      <c r="G44" s="46" t="s">
        <v>164</v>
      </c>
      <c r="H44" s="45" t="s">
        <v>171</v>
      </c>
      <c r="I44" s="45" t="s">
        <v>249</v>
      </c>
      <c r="J44" s="45" t="s">
        <v>279</v>
      </c>
      <c r="K44" s="77" t="s">
        <v>223</v>
      </c>
      <c r="L44" s="81">
        <v>4</v>
      </c>
      <c r="M44" s="45">
        <f t="shared" si="1"/>
        <v>80</v>
      </c>
      <c r="N44" s="45">
        <v>100</v>
      </c>
      <c r="O44" s="102" t="s">
        <v>247</v>
      </c>
      <c r="P44" s="50">
        <v>1.2999999999999999E-3</v>
      </c>
      <c r="Q44" s="50">
        <f t="shared" si="2"/>
        <v>0.13</v>
      </c>
      <c r="R44" s="46"/>
      <c r="S44" s="50"/>
    </row>
    <row r="45" spans="1:19" ht="252.75" thickBot="1" x14ac:dyDescent="0.3">
      <c r="A45" s="1"/>
      <c r="B45" s="37">
        <f t="shared" si="0"/>
        <v>36</v>
      </c>
      <c r="C45" s="67" t="s">
        <v>229</v>
      </c>
      <c r="D45" s="48" t="s">
        <v>48</v>
      </c>
      <c r="E45" s="49" t="s">
        <v>94</v>
      </c>
      <c r="F45" s="48" t="s">
        <v>254</v>
      </c>
      <c r="G45" s="48" t="s">
        <v>124</v>
      </c>
      <c r="H45" s="48" t="s">
        <v>249</v>
      </c>
      <c r="I45" s="48" t="s">
        <v>249</v>
      </c>
      <c r="J45" s="48" t="s">
        <v>249</v>
      </c>
      <c r="K45" s="78" t="s">
        <v>249</v>
      </c>
      <c r="L45" s="48">
        <v>106</v>
      </c>
      <c r="M45" s="48">
        <f t="shared" si="1"/>
        <v>2120</v>
      </c>
      <c r="N45" s="48" t="s">
        <v>249</v>
      </c>
      <c r="O45" s="48" t="s">
        <v>249</v>
      </c>
      <c r="P45" s="51" t="s">
        <v>249</v>
      </c>
      <c r="Q45" s="51" t="s">
        <v>249</v>
      </c>
      <c r="R45" s="49"/>
      <c r="S45" s="51"/>
    </row>
    <row r="46" spans="1:19" ht="36.75" thickBot="1" x14ac:dyDescent="0.3">
      <c r="A46" s="1"/>
      <c r="B46" s="37">
        <f>ROW(B46) - ROW($B$9)</f>
        <v>37</v>
      </c>
      <c r="C46" s="68" t="s">
        <v>230</v>
      </c>
      <c r="D46" s="45" t="s">
        <v>49</v>
      </c>
      <c r="E46" s="46" t="s">
        <v>95</v>
      </c>
      <c r="F46" s="45" t="s">
        <v>254</v>
      </c>
      <c r="G46" s="45" t="s">
        <v>125</v>
      </c>
      <c r="H46" s="45" t="s">
        <v>179</v>
      </c>
      <c r="I46" s="45"/>
      <c r="J46" s="87"/>
      <c r="K46" s="77"/>
      <c r="L46" s="81">
        <v>1</v>
      </c>
      <c r="M46" s="45">
        <f t="shared" si="1"/>
        <v>20</v>
      </c>
      <c r="N46" s="45"/>
      <c r="O46" s="93"/>
      <c r="P46" s="86">
        <v>5.8200000000000002E-2</v>
      </c>
      <c r="Q46" s="50">
        <f t="shared" si="2"/>
        <v>0</v>
      </c>
      <c r="R46" s="46"/>
      <c r="S46" s="50"/>
    </row>
    <row r="47" spans="1:19" ht="15.75" thickBot="1" x14ac:dyDescent="0.3">
      <c r="A47" s="1"/>
      <c r="B47" s="37">
        <f t="shared" si="0"/>
        <v>38</v>
      </c>
      <c r="C47" s="67" t="s">
        <v>10</v>
      </c>
      <c r="D47" s="48" t="s">
        <v>50</v>
      </c>
      <c r="E47" s="49" t="s">
        <v>96</v>
      </c>
      <c r="F47" s="48" t="s">
        <v>254</v>
      </c>
      <c r="G47" s="49" t="s">
        <v>126</v>
      </c>
      <c r="H47" s="48" t="s">
        <v>182</v>
      </c>
      <c r="I47" s="48" t="s">
        <v>249</v>
      </c>
      <c r="J47" s="48" t="s">
        <v>202</v>
      </c>
      <c r="K47" s="78" t="s">
        <v>249</v>
      </c>
      <c r="L47" s="48">
        <v>1</v>
      </c>
      <c r="M47" s="48">
        <f t="shared" si="1"/>
        <v>20</v>
      </c>
      <c r="N47" s="48">
        <v>22</v>
      </c>
      <c r="O47" s="83" t="s">
        <v>247</v>
      </c>
      <c r="P47" s="84">
        <v>3.99</v>
      </c>
      <c r="Q47" s="51">
        <f t="shared" si="2"/>
        <v>87.78</v>
      </c>
      <c r="R47" s="49"/>
      <c r="S47" s="51"/>
    </row>
    <row r="48" spans="1:19" ht="15.75" thickBot="1" x14ac:dyDescent="0.3">
      <c r="A48" s="1"/>
      <c r="B48" s="37">
        <f>ROW(B48) - ROW($B$9)</f>
        <v>39</v>
      </c>
      <c r="C48" s="68" t="s">
        <v>11</v>
      </c>
      <c r="D48" s="45" t="s">
        <v>51</v>
      </c>
      <c r="E48" s="46" t="s">
        <v>97</v>
      </c>
      <c r="F48" s="45" t="s">
        <v>127</v>
      </c>
      <c r="G48" s="46" t="s">
        <v>165</v>
      </c>
      <c r="H48" s="45" t="s">
        <v>177</v>
      </c>
      <c r="I48" s="45"/>
      <c r="J48" s="45" t="s">
        <v>203</v>
      </c>
      <c r="K48" s="77" t="s">
        <v>249</v>
      </c>
      <c r="L48" s="81">
        <v>8</v>
      </c>
      <c r="M48" s="45">
        <f t="shared" si="1"/>
        <v>160</v>
      </c>
      <c r="N48" s="45">
        <v>165</v>
      </c>
      <c r="O48" s="102" t="s">
        <v>247</v>
      </c>
      <c r="P48" s="50">
        <v>3.6194000000000002</v>
      </c>
      <c r="Q48" s="50">
        <f t="shared" si="2"/>
        <v>597.20100000000002</v>
      </c>
      <c r="R48" s="46"/>
      <c r="S48" s="50"/>
    </row>
    <row r="49" spans="1:19" ht="24.75" thickBot="1" x14ac:dyDescent="0.3">
      <c r="A49" s="1"/>
      <c r="B49" s="37">
        <f t="shared" si="0"/>
        <v>40</v>
      </c>
      <c r="C49" s="67" t="s">
        <v>11</v>
      </c>
      <c r="D49" s="48" t="s">
        <v>52</v>
      </c>
      <c r="E49" s="49" t="s">
        <v>98</v>
      </c>
      <c r="F49" s="48" t="s">
        <v>128</v>
      </c>
      <c r="G49" s="49" t="s">
        <v>166</v>
      </c>
      <c r="H49" s="48" t="s">
        <v>183</v>
      </c>
      <c r="I49" s="48" t="s">
        <v>249</v>
      </c>
      <c r="J49" s="48" t="s">
        <v>280</v>
      </c>
      <c r="K49" s="78" t="s">
        <v>249</v>
      </c>
      <c r="L49" s="48">
        <v>1</v>
      </c>
      <c r="M49" s="48">
        <f t="shared" si="1"/>
        <v>20</v>
      </c>
      <c r="N49" s="48">
        <v>22</v>
      </c>
      <c r="O49" s="103" t="s">
        <v>247</v>
      </c>
      <c r="P49" s="51">
        <v>0.42</v>
      </c>
      <c r="Q49" s="51">
        <f t="shared" si="2"/>
        <v>9.24</v>
      </c>
      <c r="R49" s="49"/>
      <c r="S49" s="51"/>
    </row>
    <row r="50" spans="1:19" ht="15.75" thickBot="1" x14ac:dyDescent="0.3">
      <c r="A50" s="1"/>
      <c r="B50" s="37">
        <f>ROW(B50) - ROW($B$9)</f>
        <v>41</v>
      </c>
      <c r="C50" s="68" t="s">
        <v>11</v>
      </c>
      <c r="D50" s="45" t="s">
        <v>53</v>
      </c>
      <c r="E50" s="46" t="s">
        <v>99</v>
      </c>
      <c r="F50" s="45" t="s">
        <v>129</v>
      </c>
      <c r="G50" s="46" t="s">
        <v>167</v>
      </c>
      <c r="H50" s="45" t="s">
        <v>177</v>
      </c>
      <c r="I50" s="45"/>
      <c r="J50" s="45"/>
      <c r="K50" s="77"/>
      <c r="L50" s="81">
        <v>1</v>
      </c>
      <c r="M50" s="45">
        <f t="shared" si="1"/>
        <v>20</v>
      </c>
      <c r="N50" s="45"/>
      <c r="O50" s="85" t="s">
        <v>255</v>
      </c>
      <c r="P50" s="95">
        <v>12.6</v>
      </c>
      <c r="Q50" s="50">
        <f t="shared" si="2"/>
        <v>0</v>
      </c>
      <c r="R50" s="46"/>
      <c r="S50" s="50"/>
    </row>
    <row r="51" spans="1:19" ht="15.75" thickBot="1" x14ac:dyDescent="0.3">
      <c r="A51" s="1"/>
      <c r="B51" s="37">
        <f t="shared" si="0"/>
        <v>42</v>
      </c>
      <c r="C51" s="67" t="s">
        <v>11</v>
      </c>
      <c r="D51" s="48" t="s">
        <v>54</v>
      </c>
      <c r="E51" s="49" t="s">
        <v>100</v>
      </c>
      <c r="F51" s="48" t="s">
        <v>265</v>
      </c>
      <c r="G51" s="49" t="s">
        <v>130</v>
      </c>
      <c r="H51" s="48" t="s">
        <v>177</v>
      </c>
      <c r="I51" s="48" t="s">
        <v>249</v>
      </c>
      <c r="J51" s="94" t="s">
        <v>257</v>
      </c>
      <c r="K51" s="78"/>
      <c r="L51" s="48">
        <v>2</v>
      </c>
      <c r="M51" s="48">
        <f t="shared" si="1"/>
        <v>40</v>
      </c>
      <c r="N51" s="48">
        <v>42</v>
      </c>
      <c r="O51" s="91" t="s">
        <v>247</v>
      </c>
      <c r="P51" s="84">
        <v>3.2374999999999998</v>
      </c>
      <c r="Q51" s="51">
        <f t="shared" si="2"/>
        <v>135.97499999999999</v>
      </c>
      <c r="R51" s="49"/>
      <c r="S51" s="51"/>
    </row>
    <row r="52" spans="1:19" ht="36.75" thickBot="1" x14ac:dyDescent="0.3">
      <c r="A52" s="1"/>
      <c r="B52" s="37">
        <f>ROW(B52) - ROW($B$9)</f>
        <v>43</v>
      </c>
      <c r="C52" s="68" t="s">
        <v>11</v>
      </c>
      <c r="D52" s="45" t="s">
        <v>55</v>
      </c>
      <c r="E52" s="46" t="s">
        <v>101</v>
      </c>
      <c r="F52" s="45" t="s">
        <v>266</v>
      </c>
      <c r="G52" s="45" t="s">
        <v>131</v>
      </c>
      <c r="H52" s="45" t="s">
        <v>184</v>
      </c>
      <c r="I52" s="45" t="s">
        <v>249</v>
      </c>
      <c r="J52" s="96" t="s">
        <v>258</v>
      </c>
      <c r="K52" s="77"/>
      <c r="L52" s="81">
        <v>1</v>
      </c>
      <c r="M52" s="45">
        <f t="shared" si="1"/>
        <v>20</v>
      </c>
      <c r="N52" s="45">
        <v>30</v>
      </c>
      <c r="O52" s="85" t="s">
        <v>247</v>
      </c>
      <c r="P52" s="86">
        <v>5.5800000000000002E-2</v>
      </c>
      <c r="Q52" s="50">
        <f t="shared" si="2"/>
        <v>1.6740000000000002</v>
      </c>
      <c r="R52" s="46"/>
      <c r="S52" s="50"/>
    </row>
    <row r="53" spans="1:19" ht="15.75" thickBot="1" x14ac:dyDescent="0.3">
      <c r="A53" s="1"/>
      <c r="B53" s="37">
        <f t="shared" si="0"/>
        <v>44</v>
      </c>
      <c r="C53" s="67" t="s">
        <v>11</v>
      </c>
      <c r="D53" s="48" t="s">
        <v>56</v>
      </c>
      <c r="E53" s="49" t="s">
        <v>102</v>
      </c>
      <c r="F53" s="48" t="s">
        <v>132</v>
      </c>
      <c r="G53" s="49" t="s">
        <v>168</v>
      </c>
      <c r="H53" s="48" t="s">
        <v>177</v>
      </c>
      <c r="I53" s="48"/>
      <c r="J53" s="48"/>
      <c r="K53" s="78"/>
      <c r="L53" s="48">
        <v>1</v>
      </c>
      <c r="M53" s="48">
        <f t="shared" si="1"/>
        <v>20</v>
      </c>
      <c r="N53" s="48"/>
      <c r="O53" s="48"/>
      <c r="P53" s="51"/>
      <c r="Q53" s="51">
        <f t="shared" si="2"/>
        <v>0</v>
      </c>
      <c r="R53" s="49"/>
      <c r="S53" s="51"/>
    </row>
    <row r="54" spans="1:19" ht="15.75" thickBot="1" x14ac:dyDescent="0.3">
      <c r="A54" s="1"/>
      <c r="B54" s="37">
        <f>ROW(B54) - ROW($B$9)</f>
        <v>45</v>
      </c>
      <c r="C54" s="68" t="s">
        <v>11</v>
      </c>
      <c r="D54" s="45" t="s">
        <v>57</v>
      </c>
      <c r="E54" s="46" t="s">
        <v>103</v>
      </c>
      <c r="F54" s="45" t="s">
        <v>133</v>
      </c>
      <c r="G54" s="46" t="s">
        <v>169</v>
      </c>
      <c r="H54" s="45" t="s">
        <v>185</v>
      </c>
      <c r="I54" s="45"/>
      <c r="J54" s="45"/>
      <c r="K54" s="77"/>
      <c r="L54" s="81">
        <v>4</v>
      </c>
      <c r="M54" s="45">
        <f t="shared" si="1"/>
        <v>80</v>
      </c>
      <c r="N54" s="45"/>
      <c r="O54" s="45"/>
      <c r="P54" s="50"/>
      <c r="Q54" s="50">
        <f t="shared" si="2"/>
        <v>0</v>
      </c>
      <c r="R54" s="46"/>
      <c r="S54" s="50"/>
    </row>
    <row r="55" spans="1:19" ht="36.75" thickBot="1" x14ac:dyDescent="0.3">
      <c r="A55" s="1"/>
      <c r="B55" s="37">
        <f t="shared" si="0"/>
        <v>46</v>
      </c>
      <c r="C55" s="67" t="s">
        <v>231</v>
      </c>
      <c r="D55" s="48" t="s">
        <v>58</v>
      </c>
      <c r="E55" s="49" t="s">
        <v>104</v>
      </c>
      <c r="F55" s="48" t="s">
        <v>254</v>
      </c>
      <c r="G55" s="48" t="s">
        <v>134</v>
      </c>
      <c r="H55" s="48" t="s">
        <v>186</v>
      </c>
      <c r="I55" s="48"/>
      <c r="J55" s="98" t="s">
        <v>259</v>
      </c>
      <c r="K55" s="48" t="s">
        <v>260</v>
      </c>
      <c r="L55" s="48">
        <v>1</v>
      </c>
      <c r="M55" s="48">
        <f t="shared" si="1"/>
        <v>20</v>
      </c>
      <c r="N55" s="48">
        <v>22</v>
      </c>
      <c r="O55" s="103" t="s">
        <v>247</v>
      </c>
      <c r="P55" s="51">
        <v>0.15179999999999999</v>
      </c>
      <c r="Q55" s="51">
        <f t="shared" si="2"/>
        <v>3.3395999999999999</v>
      </c>
      <c r="R55" s="49"/>
      <c r="S55" s="51"/>
    </row>
    <row r="56" spans="1:19" ht="36.75" thickBot="1" x14ac:dyDescent="0.3">
      <c r="A56" s="1"/>
      <c r="B56" s="37">
        <f>ROW(B56) - ROW($B$9)</f>
        <v>47</v>
      </c>
      <c r="C56" s="71" t="s">
        <v>231</v>
      </c>
      <c r="D56" s="45" t="s">
        <v>59</v>
      </c>
      <c r="E56" s="46" t="s">
        <v>105</v>
      </c>
      <c r="F56" s="45" t="s">
        <v>254</v>
      </c>
      <c r="G56" s="46" t="s">
        <v>135</v>
      </c>
      <c r="H56" s="45" t="s">
        <v>187</v>
      </c>
      <c r="I56" s="45"/>
      <c r="J56" s="99" t="s">
        <v>261</v>
      </c>
      <c r="K56" s="82" t="s">
        <v>262</v>
      </c>
      <c r="L56" s="82">
        <v>2</v>
      </c>
      <c r="M56" s="45">
        <f t="shared" si="1"/>
        <v>40</v>
      </c>
      <c r="N56" s="45">
        <v>45</v>
      </c>
      <c r="O56" s="102" t="s">
        <v>247</v>
      </c>
      <c r="P56" s="50">
        <v>7.4099999999999999E-2</v>
      </c>
      <c r="Q56" s="50">
        <f t="shared" si="2"/>
        <v>3.3344999999999998</v>
      </c>
      <c r="R56" s="46"/>
      <c r="S56" s="50"/>
    </row>
    <row r="57" spans="1:19" ht="19.5" thickBot="1" x14ac:dyDescent="0.3">
      <c r="A57" s="1"/>
      <c r="B57" s="32"/>
      <c r="C57" s="43"/>
      <c r="D57" s="33"/>
      <c r="E57" s="34"/>
      <c r="F57" s="35"/>
      <c r="G57" s="36"/>
      <c r="H57" s="35"/>
      <c r="I57" s="36"/>
      <c r="J57" s="35"/>
      <c r="K57" s="36"/>
      <c r="L57" s="80"/>
      <c r="M57" s="36"/>
      <c r="N57" s="73" t="s">
        <v>241</v>
      </c>
      <c r="O57" s="74"/>
      <c r="P57" s="74"/>
      <c r="Q57" s="75">
        <f>SUM(Q10:Q56)</f>
        <v>951.47260000000006</v>
      </c>
      <c r="R57" s="62"/>
      <c r="S57" s="63"/>
    </row>
    <row r="58" spans="1:19" ht="19.5" thickBot="1" x14ac:dyDescent="0.3">
      <c r="A58" s="1"/>
      <c r="B58" s="25"/>
      <c r="C58" s="44"/>
      <c r="D58" s="9"/>
      <c r="E58" s="10"/>
      <c r="F58" s="10"/>
      <c r="G58" s="10"/>
      <c r="H58" s="10"/>
      <c r="I58" s="10"/>
      <c r="J58" s="10"/>
      <c r="K58" s="10"/>
      <c r="L58" s="10"/>
      <c r="M58" s="10"/>
      <c r="N58" s="73" t="s">
        <v>242</v>
      </c>
      <c r="O58" s="74"/>
      <c r="P58" s="74"/>
      <c r="Q58" s="76">
        <f>Q57/20</f>
        <v>47.573630000000001</v>
      </c>
      <c r="R58" s="64"/>
      <c r="S58" s="65"/>
    </row>
  </sheetData>
  <mergeCells count="5">
    <mergeCell ref="K1:S1"/>
    <mergeCell ref="S3:S8"/>
    <mergeCell ref="R57:S58"/>
    <mergeCell ref="N57:P57"/>
    <mergeCell ref="N58:P58"/>
  </mergeCells>
  <conditionalFormatting sqref="O1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{36FE3DFC-211D-4D55-A623-8B46E5CBB5FA}</x14:id>
        </ext>
      </extLst>
    </cfRule>
  </conditionalFormatting>
  <conditionalFormatting sqref="O1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{440BA47D-7917-4513-BB65-9F9C92F67290}</x14:id>
        </ext>
      </extLst>
    </cfRule>
  </conditionalFormatting>
  <conditionalFormatting sqref="O29:O3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{F1ABC081-00A1-474A-A44C-1A062A2CA694}</x14:id>
        </ext>
      </extLst>
    </cfRule>
  </conditionalFormatting>
  <conditionalFormatting sqref="O5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{E47B1AD1-27DA-4123-A6BE-0509433BD06C}</x14:id>
        </ext>
      </extLst>
    </cfRule>
  </conditionalFormatting>
  <conditionalFormatting sqref="O5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{E9F4AC7E-E6F7-4345-952E-2819ACC3E3C5}</x14:id>
        </ext>
      </extLst>
    </cfRule>
  </conditionalFormatting>
  <conditionalFormatting sqref="O4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{5F20C9FD-8737-4B84-918B-791776FA75ED}</x14:id>
        </ext>
      </extLst>
    </cfRule>
  </conditionalFormatting>
  <hyperlinks>
    <hyperlink ref="O12" r:id="rId1" xr:uid="{C9CD9770-487B-40E6-AA67-F85C2F7998A6}"/>
    <hyperlink ref="O14" r:id="rId2" xr:uid="{736BD189-760A-4B09-A3F6-F664DCC7E819}"/>
    <hyperlink ref="O29" r:id="rId3" xr:uid="{1F81CF20-471E-4E25-91A1-ACADE372D7F1}"/>
    <hyperlink ref="O30" r:id="rId4" xr:uid="{1FFF2F14-D016-403D-B7DE-3461C5CEE3CC}"/>
    <hyperlink ref="O32" r:id="rId5" xr:uid="{A67D8B75-ADCA-454A-90A2-7B3827ED99FF}"/>
    <hyperlink ref="O35" r:id="rId6" xr:uid="{2156ACCA-5D51-4A13-B679-1A5F84AF210C}"/>
    <hyperlink ref="O52" r:id="rId7" xr:uid="{F4AF2DE2-2F5A-4F8F-AE3B-B74333079DBA}"/>
    <hyperlink ref="O51" r:id="rId8" xr:uid="{E3681D50-BCF6-45BF-92E2-FA79AE9F7F63}"/>
    <hyperlink ref="O37" r:id="rId9" xr:uid="{708B72BB-8155-435C-A98A-443BAD0793CE}"/>
    <hyperlink ref="O47" r:id="rId10" xr:uid="{5A47B33C-2078-42A0-97CB-FDA2AEFAD03A}"/>
    <hyperlink ref="O43" r:id="rId11" xr:uid="{4B4AC863-E6E5-4BC7-A41F-D036243904B1}"/>
    <hyperlink ref="O41" r:id="rId12" xr:uid="{69A12946-F47E-4DFE-985E-8D4693A7CC10}"/>
    <hyperlink ref="O10" r:id="rId13" xr:uid="{8FDB36E3-3359-4086-A00B-9B44E30AE660}"/>
    <hyperlink ref="O11" r:id="rId14" xr:uid="{3348A2EA-3BD0-47EE-8D96-64F7519EA682}"/>
    <hyperlink ref="O13" r:id="rId15" xr:uid="{F6C212B2-15D4-464A-A620-9DC42777AB26}"/>
    <hyperlink ref="O15" r:id="rId16" xr:uid="{B4FB5ACC-7444-491F-A75C-0DFA4CD9CE42}"/>
    <hyperlink ref="O17" r:id="rId17" xr:uid="{6C5E3693-5C77-457F-8D07-198366E2398D}"/>
    <hyperlink ref="O18" r:id="rId18" xr:uid="{53C23FF1-FE99-4B67-B6FF-04B3CB1B9110}"/>
    <hyperlink ref="O19" r:id="rId19" xr:uid="{2BA5C093-C64D-4DC8-B3F5-029522A23AEF}"/>
    <hyperlink ref="O20" r:id="rId20" xr:uid="{7B46B2C0-14AE-4B4E-805C-D393B1A50D70}"/>
    <hyperlink ref="O21" r:id="rId21" xr:uid="{382FF0FA-7010-4BD6-B83E-B24898DEAFC2}"/>
    <hyperlink ref="O22" r:id="rId22" xr:uid="{93410C74-92DC-4517-ACE0-52AB5C31E1FD}"/>
    <hyperlink ref="O23" r:id="rId23" xr:uid="{AE531983-D06C-4C60-B45D-E4544B04C394}"/>
    <hyperlink ref="O24" r:id="rId24" xr:uid="{45297EE2-EE7D-4B4F-A3C8-9A5E031EF4B4}"/>
    <hyperlink ref="O26" r:id="rId25" xr:uid="{0DAF9DCD-55F7-4DC6-A56C-F28831022179}"/>
    <hyperlink ref="O27" r:id="rId26" xr:uid="{175B306F-E9B1-4F1E-AD1F-3E90011CB1AA}"/>
    <hyperlink ref="O28" r:id="rId27" xr:uid="{1681AD64-2563-48EE-8A92-950CAE9B7331}"/>
    <hyperlink ref="O31" r:id="rId28" xr:uid="{B770F765-5335-487F-9967-272DD1C9A2E1}"/>
    <hyperlink ref="O38" r:id="rId29" xr:uid="{0D74FD7F-A6AB-421A-8F10-7C11981AF05F}"/>
    <hyperlink ref="O39" r:id="rId30" xr:uid="{57959F40-302E-4C7E-BCCB-DC9E117DC9C9}"/>
    <hyperlink ref="O40" r:id="rId31" xr:uid="{6D489768-7C07-4E89-B8C4-B27785A5ACC4}"/>
    <hyperlink ref="O42" r:id="rId32" xr:uid="{421CEA32-ED48-4D99-ADE3-24AC8291EFF0}"/>
    <hyperlink ref="O44" r:id="rId33" xr:uid="{8AD47C0D-DD20-446B-99FD-D1C94B901710}"/>
    <hyperlink ref="O48" r:id="rId34" xr:uid="{39F5D6FC-B79E-4A23-A4F5-F94AE19CCF54}"/>
    <hyperlink ref="O49" r:id="rId35" xr:uid="{26F56D36-5160-4F93-B0FE-BA5D7F279576}"/>
    <hyperlink ref="O55" r:id="rId36" xr:uid="{0141DE74-1F28-4DA9-B73A-7BD298437E30}"/>
    <hyperlink ref="O56" r:id="rId37" xr:uid="{71472283-ADCE-419D-B345-3F78D4C9B4A1}"/>
  </hyperlinks>
  <pageMargins left="0.7" right="0.7" top="0.75" bottom="0.75" header="0.3" footer="0.3"/>
  <pageSetup paperSize="9" orientation="portrait" r:id="rId38"/>
  <drawing r:id="rId39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6FE3DFC-211D-4D55-A623-8B46E5CBB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440BA47D-7917-4513-BB65-9F9C92F672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F1ABC081-00A1-474A-A44C-1A062A2CA6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O29:O30</xm:sqref>
        </x14:conditionalFormatting>
        <x14:conditionalFormatting xmlns:xm="http://schemas.microsoft.com/office/excel/2006/main">
          <x14:cfRule type="dataBar" id="{E47B1AD1-27DA-4123-A6BE-0509433BD0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O50</xm:sqref>
        </x14:conditionalFormatting>
        <x14:conditionalFormatting xmlns:xm="http://schemas.microsoft.com/office/excel/2006/main">
          <x14:cfRule type="dataBar" id="{E9F4AC7E-E6F7-4345-952E-2819ACC3E3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O52</xm:sqref>
        </x14:conditionalFormatting>
        <x14:conditionalFormatting xmlns:xm="http://schemas.microsoft.com/office/excel/2006/main">
          <x14:cfRule type="dataBar" id="{5F20C9FD-8737-4B84-918B-791776FA7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A4D2-3D39-4CFF-92FF-477EAC1CAE20}">
  <dimension ref="A1:S58"/>
  <sheetViews>
    <sheetView topLeftCell="F52" workbookViewId="0">
      <selection activeCell="P10" sqref="P10"/>
    </sheetView>
  </sheetViews>
  <sheetFormatPr defaultRowHeight="15" x14ac:dyDescent="0.25"/>
  <cols>
    <col min="2" max="2" width="3" bestFit="1" customWidth="1"/>
    <col min="3" max="3" width="12.5703125" customWidth="1"/>
    <col min="4" max="4" width="31.140625" bestFit="1" customWidth="1"/>
    <col min="5" max="5" width="23.7109375" customWidth="1"/>
    <col min="6" max="6" width="21.425781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9" customWidth="1"/>
    <col min="12" max="12" width="8.7109375" bestFit="1" customWidth="1"/>
    <col min="13" max="13" width="21.42578125" bestFit="1" customWidth="1"/>
    <col min="14" max="14" width="18.28515625" bestFit="1" customWidth="1"/>
    <col min="15" max="15" width="15.7109375" bestFit="1" customWidth="1"/>
    <col min="16" max="16" width="21.85546875" bestFit="1" customWidth="1"/>
    <col min="17" max="17" width="22.42578125" bestFit="1" customWidth="1"/>
    <col min="18" max="18" width="8.5703125" bestFit="1" customWidth="1"/>
    <col min="19" max="19" width="26.1406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58"/>
      <c r="L1" s="58"/>
      <c r="M1" s="58"/>
      <c r="N1" s="58"/>
      <c r="O1" s="58"/>
      <c r="P1" s="58"/>
      <c r="Q1" s="58"/>
      <c r="R1" s="58"/>
      <c r="S1" s="59"/>
    </row>
    <row r="2" spans="1:19" ht="32.25" thickBot="1" x14ac:dyDescent="0.3">
      <c r="A2" s="1"/>
      <c r="B2" s="21"/>
      <c r="C2" s="38"/>
      <c r="D2" s="11" t="s">
        <v>0</v>
      </c>
      <c r="E2" s="11"/>
      <c r="F2" s="54" t="s">
        <v>281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9"/>
      <c r="D3" s="13" t="s">
        <v>1</v>
      </c>
      <c r="E3" s="13"/>
      <c r="F3" s="55" t="s">
        <v>282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0"/>
    </row>
    <row r="4" spans="1:19" x14ac:dyDescent="0.25">
      <c r="A4" s="1"/>
      <c r="B4" s="22"/>
      <c r="C4" s="39"/>
      <c r="D4" s="13" t="s">
        <v>2</v>
      </c>
      <c r="E4" s="13"/>
      <c r="F4" s="56" t="s">
        <v>282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1"/>
    </row>
    <row r="5" spans="1:19" x14ac:dyDescent="0.25">
      <c r="A5" s="1"/>
      <c r="B5" s="22"/>
      <c r="C5" s="39"/>
      <c r="D5" s="13" t="s">
        <v>3</v>
      </c>
      <c r="E5" s="13"/>
      <c r="F5" s="57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1"/>
    </row>
    <row r="6" spans="1:19" x14ac:dyDescent="0.25">
      <c r="A6" s="1"/>
      <c r="B6" s="23"/>
      <c r="C6" s="40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1"/>
    </row>
    <row r="7" spans="1:19" x14ac:dyDescent="0.25">
      <c r="A7" s="1"/>
      <c r="B7" s="24"/>
      <c r="C7" s="41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1"/>
    </row>
    <row r="8" spans="1:19" ht="15.75" thickBot="1" x14ac:dyDescent="0.3">
      <c r="A8" s="1"/>
      <c r="B8" s="27"/>
      <c r="C8" s="42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1"/>
    </row>
    <row r="9" spans="1:19" ht="15.75" thickBot="1" x14ac:dyDescent="0.3">
      <c r="A9" s="1"/>
      <c r="B9" s="72" t="s">
        <v>4</v>
      </c>
      <c r="C9" s="30" t="s">
        <v>6</v>
      </c>
      <c r="D9" s="31" t="s">
        <v>12</v>
      </c>
      <c r="E9" s="30" t="s">
        <v>60</v>
      </c>
      <c r="F9" s="31" t="s">
        <v>106</v>
      </c>
      <c r="G9" s="30" t="s">
        <v>136</v>
      </c>
      <c r="H9" s="31" t="s">
        <v>170</v>
      </c>
      <c r="I9" s="30" t="s">
        <v>232</v>
      </c>
      <c r="J9" s="31" t="s">
        <v>188</v>
      </c>
      <c r="K9" s="30" t="s">
        <v>233</v>
      </c>
      <c r="L9" s="31" t="s">
        <v>224</v>
      </c>
      <c r="M9" s="30" t="s">
        <v>283</v>
      </c>
      <c r="N9" s="31" t="s">
        <v>284</v>
      </c>
      <c r="O9" s="30" t="s">
        <v>236</v>
      </c>
      <c r="P9" s="31" t="s">
        <v>285</v>
      </c>
      <c r="Q9" s="30" t="s">
        <v>286</v>
      </c>
      <c r="R9" s="31" t="s">
        <v>239</v>
      </c>
      <c r="S9" s="30" t="s">
        <v>240</v>
      </c>
    </row>
    <row r="10" spans="1:19" s="106" customFormat="1" ht="36.75" thickBot="1" x14ac:dyDescent="0.3">
      <c r="A10" s="104"/>
      <c r="B10" s="37">
        <f>ROW(B10) - ROW($B$9)</f>
        <v>1</v>
      </c>
      <c r="C10" s="71" t="s">
        <v>7</v>
      </c>
      <c r="D10" s="45" t="s">
        <v>13</v>
      </c>
      <c r="E10" s="46" t="s">
        <v>61</v>
      </c>
      <c r="F10" s="45" t="s">
        <v>107</v>
      </c>
      <c r="G10" s="46" t="s">
        <v>137</v>
      </c>
      <c r="H10" s="45" t="s">
        <v>171</v>
      </c>
      <c r="I10" s="45" t="s">
        <v>249</v>
      </c>
      <c r="J10" s="45" t="s">
        <v>189</v>
      </c>
      <c r="K10" s="77" t="s">
        <v>204</v>
      </c>
      <c r="L10" s="52">
        <v>20</v>
      </c>
      <c r="M10" s="81">
        <f>L10*1000</f>
        <v>20000</v>
      </c>
      <c r="N10" s="45"/>
      <c r="O10" s="102" t="s">
        <v>247</v>
      </c>
      <c r="P10" s="50"/>
      <c r="Q10" s="50">
        <f>P10*N10</f>
        <v>0</v>
      </c>
      <c r="R10" s="46"/>
      <c r="S10" s="105"/>
    </row>
    <row r="11" spans="1:19" s="106" customFormat="1" ht="15.75" thickBot="1" x14ac:dyDescent="0.3">
      <c r="A11" s="104"/>
      <c r="B11" s="37">
        <f t="shared" ref="B11:B55" si="0">ROW(B11) - ROW($B$9)</f>
        <v>2</v>
      </c>
      <c r="C11" s="67" t="s">
        <v>7</v>
      </c>
      <c r="D11" s="48" t="s">
        <v>14</v>
      </c>
      <c r="E11" s="49" t="s">
        <v>62</v>
      </c>
      <c r="F11" s="48" t="s">
        <v>108</v>
      </c>
      <c r="G11" s="49" t="s">
        <v>138</v>
      </c>
      <c r="H11" s="48" t="s">
        <v>172</v>
      </c>
      <c r="I11" s="48" t="s">
        <v>249</v>
      </c>
      <c r="J11" s="48" t="s">
        <v>270</v>
      </c>
      <c r="K11" s="78" t="s">
        <v>205</v>
      </c>
      <c r="L11" s="79">
        <v>1</v>
      </c>
      <c r="M11" s="48">
        <f t="shared" ref="M11:M56" si="1">L11*1000</f>
        <v>1000</v>
      </c>
      <c r="N11" s="48"/>
      <c r="O11" s="103" t="s">
        <v>247</v>
      </c>
      <c r="P11" s="51"/>
      <c r="Q11" s="51">
        <f t="shared" ref="Q11:Q56" si="2">P11*N11</f>
        <v>0</v>
      </c>
      <c r="R11" s="49"/>
      <c r="S11" s="51"/>
    </row>
    <row r="12" spans="1:19" s="106" customFormat="1" ht="36.75" thickBot="1" x14ac:dyDescent="0.3">
      <c r="A12" s="104"/>
      <c r="B12" s="37">
        <f>ROW(B12) - ROW($B$9)</f>
        <v>3</v>
      </c>
      <c r="C12" s="68" t="s">
        <v>7</v>
      </c>
      <c r="D12" s="45" t="s">
        <v>15</v>
      </c>
      <c r="E12" s="46" t="s">
        <v>63</v>
      </c>
      <c r="F12" s="45" t="s">
        <v>107</v>
      </c>
      <c r="G12" s="46" t="s">
        <v>139</v>
      </c>
      <c r="H12" s="45" t="s">
        <v>171</v>
      </c>
      <c r="I12" s="45" t="s">
        <v>249</v>
      </c>
      <c r="J12" s="45" t="s">
        <v>190</v>
      </c>
      <c r="K12" s="77" t="s">
        <v>206</v>
      </c>
      <c r="L12" s="81">
        <v>21</v>
      </c>
      <c r="M12" s="81">
        <f t="shared" si="1"/>
        <v>21000</v>
      </c>
      <c r="N12" s="45"/>
      <c r="O12" s="107" t="s">
        <v>247</v>
      </c>
      <c r="P12" s="86"/>
      <c r="Q12" s="50">
        <f t="shared" si="2"/>
        <v>0</v>
      </c>
      <c r="R12" s="46"/>
      <c r="S12" s="50"/>
    </row>
    <row r="13" spans="1:19" s="106" customFormat="1" ht="24.75" thickBot="1" x14ac:dyDescent="0.3">
      <c r="A13" s="104"/>
      <c r="B13" s="37">
        <f t="shared" si="0"/>
        <v>4</v>
      </c>
      <c r="C13" s="67" t="s">
        <v>7</v>
      </c>
      <c r="D13" s="48" t="s">
        <v>16</v>
      </c>
      <c r="E13" s="49" t="s">
        <v>64</v>
      </c>
      <c r="F13" s="48" t="s">
        <v>109</v>
      </c>
      <c r="G13" s="49" t="s">
        <v>140</v>
      </c>
      <c r="H13" s="48" t="s">
        <v>171</v>
      </c>
      <c r="I13" s="48" t="s">
        <v>249</v>
      </c>
      <c r="J13" s="48" t="s">
        <v>271</v>
      </c>
      <c r="K13" s="78" t="s">
        <v>207</v>
      </c>
      <c r="L13" s="48">
        <v>12</v>
      </c>
      <c r="M13" s="48">
        <f t="shared" si="1"/>
        <v>12000</v>
      </c>
      <c r="N13" s="48"/>
      <c r="O13" s="103" t="s">
        <v>247</v>
      </c>
      <c r="P13" s="51"/>
      <c r="Q13" s="51">
        <f t="shared" si="2"/>
        <v>0</v>
      </c>
      <c r="R13" s="49"/>
      <c r="S13" s="51"/>
    </row>
    <row r="14" spans="1:19" s="106" customFormat="1" ht="24.75" thickBot="1" x14ac:dyDescent="0.3">
      <c r="A14" s="104"/>
      <c r="B14" s="37">
        <f>ROW(B14) - ROW($B$9)</f>
        <v>5</v>
      </c>
      <c r="C14" s="68" t="s">
        <v>7</v>
      </c>
      <c r="D14" s="45" t="s">
        <v>17</v>
      </c>
      <c r="E14" s="46" t="s">
        <v>65</v>
      </c>
      <c r="F14" s="45" t="s">
        <v>110</v>
      </c>
      <c r="G14" s="46" t="s">
        <v>141</v>
      </c>
      <c r="H14" s="45" t="s">
        <v>173</v>
      </c>
      <c r="I14" s="45" t="s">
        <v>249</v>
      </c>
      <c r="J14" s="45" t="s">
        <v>191</v>
      </c>
      <c r="K14" s="77" t="s">
        <v>208</v>
      </c>
      <c r="L14" s="81">
        <v>2</v>
      </c>
      <c r="M14" s="81">
        <f t="shared" si="1"/>
        <v>2000</v>
      </c>
      <c r="N14" s="45"/>
      <c r="O14" s="107" t="s">
        <v>247</v>
      </c>
      <c r="P14" s="86"/>
      <c r="Q14" s="50">
        <f t="shared" si="2"/>
        <v>0</v>
      </c>
      <c r="R14" s="46"/>
      <c r="S14" s="50"/>
    </row>
    <row r="15" spans="1:19" s="106" customFormat="1" ht="24.75" thickBot="1" x14ac:dyDescent="0.3">
      <c r="A15" s="104"/>
      <c r="B15" s="37">
        <f t="shared" si="0"/>
        <v>6</v>
      </c>
      <c r="C15" s="67" t="s">
        <v>7</v>
      </c>
      <c r="D15" s="48" t="s">
        <v>18</v>
      </c>
      <c r="E15" s="49" t="s">
        <v>66</v>
      </c>
      <c r="F15" s="48" t="s">
        <v>108</v>
      </c>
      <c r="G15" s="49" t="s">
        <v>142</v>
      </c>
      <c r="H15" s="48" t="s">
        <v>171</v>
      </c>
      <c r="I15" s="48" t="s">
        <v>249</v>
      </c>
      <c r="J15" s="48" t="s">
        <v>272</v>
      </c>
      <c r="K15" s="78" t="s">
        <v>209</v>
      </c>
      <c r="L15" s="48">
        <v>12</v>
      </c>
      <c r="M15" s="48">
        <f t="shared" si="1"/>
        <v>12000</v>
      </c>
      <c r="N15" s="48"/>
      <c r="O15" s="103" t="s">
        <v>247</v>
      </c>
      <c r="P15" s="51"/>
      <c r="Q15" s="51">
        <f t="shared" si="2"/>
        <v>0</v>
      </c>
      <c r="R15" s="49"/>
      <c r="S15" s="51"/>
    </row>
    <row r="16" spans="1:19" s="106" customFormat="1" ht="15.75" thickBot="1" x14ac:dyDescent="0.3">
      <c r="A16" s="104"/>
      <c r="B16" s="37">
        <f>ROW(B16) - ROW($B$9)</f>
        <v>7</v>
      </c>
      <c r="C16" s="68" t="s">
        <v>7</v>
      </c>
      <c r="D16" s="45" t="s">
        <v>19</v>
      </c>
      <c r="E16" s="46" t="s">
        <v>67</v>
      </c>
      <c r="F16" s="45" t="s">
        <v>107</v>
      </c>
      <c r="G16" s="46" t="s">
        <v>143</v>
      </c>
      <c r="H16" s="45" t="s">
        <v>171</v>
      </c>
      <c r="I16" s="45"/>
      <c r="J16" s="45" t="s">
        <v>192</v>
      </c>
      <c r="K16" s="77" t="s">
        <v>210</v>
      </c>
      <c r="L16" s="81">
        <v>4</v>
      </c>
      <c r="M16" s="81">
        <f t="shared" si="1"/>
        <v>4000</v>
      </c>
      <c r="N16" s="45"/>
      <c r="O16" s="45"/>
      <c r="P16" s="50"/>
      <c r="Q16" s="50">
        <f t="shared" si="2"/>
        <v>0</v>
      </c>
      <c r="R16" s="46"/>
      <c r="S16" s="50"/>
    </row>
    <row r="17" spans="1:19" s="106" customFormat="1" ht="15.75" thickBot="1" x14ac:dyDescent="0.3">
      <c r="A17" s="104"/>
      <c r="B17" s="37">
        <f t="shared" si="0"/>
        <v>8</v>
      </c>
      <c r="C17" s="67" t="s">
        <v>7</v>
      </c>
      <c r="D17" s="48" t="s">
        <v>20</v>
      </c>
      <c r="E17" s="49" t="s">
        <v>68</v>
      </c>
      <c r="F17" s="48" t="s">
        <v>108</v>
      </c>
      <c r="G17" s="49" t="s">
        <v>144</v>
      </c>
      <c r="H17" s="48" t="s">
        <v>174</v>
      </c>
      <c r="I17" s="48" t="s">
        <v>249</v>
      </c>
      <c r="J17" s="48" t="s">
        <v>273</v>
      </c>
      <c r="K17" s="78" t="s">
        <v>211</v>
      </c>
      <c r="L17" s="48">
        <v>1</v>
      </c>
      <c r="M17" s="48">
        <f t="shared" si="1"/>
        <v>1000</v>
      </c>
      <c r="N17" s="48"/>
      <c r="O17" s="103" t="s">
        <v>247</v>
      </c>
      <c r="P17" s="51"/>
      <c r="Q17" s="51">
        <f t="shared" si="2"/>
        <v>0</v>
      </c>
      <c r="R17" s="49"/>
      <c r="S17" s="51"/>
    </row>
    <row r="18" spans="1:19" s="106" customFormat="1" ht="24.75" thickBot="1" x14ac:dyDescent="0.3">
      <c r="A18" s="104"/>
      <c r="B18" s="37">
        <f>ROW(B18) - ROW($B$9)</f>
        <v>9</v>
      </c>
      <c r="C18" s="68" t="s">
        <v>7</v>
      </c>
      <c r="D18" s="45" t="s">
        <v>21</v>
      </c>
      <c r="E18" s="46" t="s">
        <v>69</v>
      </c>
      <c r="F18" s="45" t="s">
        <v>108</v>
      </c>
      <c r="G18" s="46" t="s">
        <v>145</v>
      </c>
      <c r="H18" s="45" t="s">
        <v>171</v>
      </c>
      <c r="I18" s="45" t="s">
        <v>249</v>
      </c>
      <c r="J18" s="45" t="s">
        <v>274</v>
      </c>
      <c r="K18" s="77" t="s">
        <v>212</v>
      </c>
      <c r="L18" s="81">
        <v>6</v>
      </c>
      <c r="M18" s="81">
        <f t="shared" si="1"/>
        <v>6000</v>
      </c>
      <c r="N18" s="45"/>
      <c r="O18" s="102" t="s">
        <v>247</v>
      </c>
      <c r="P18" s="50"/>
      <c r="Q18" s="50">
        <f t="shared" si="2"/>
        <v>0</v>
      </c>
      <c r="R18" s="46"/>
      <c r="S18" s="50"/>
    </row>
    <row r="19" spans="1:19" s="106" customFormat="1" ht="15.75" thickBot="1" x14ac:dyDescent="0.3">
      <c r="A19" s="104"/>
      <c r="B19" s="37">
        <f t="shared" si="0"/>
        <v>10</v>
      </c>
      <c r="C19" s="67" t="s">
        <v>7</v>
      </c>
      <c r="D19" s="48" t="s">
        <v>22</v>
      </c>
      <c r="E19" s="49" t="s">
        <v>70</v>
      </c>
      <c r="F19" s="48" t="s">
        <v>108</v>
      </c>
      <c r="G19" s="49" t="s">
        <v>146</v>
      </c>
      <c r="H19" s="48" t="s">
        <v>172</v>
      </c>
      <c r="I19" s="48" t="s">
        <v>249</v>
      </c>
      <c r="J19" s="48" t="s">
        <v>275</v>
      </c>
      <c r="K19" s="78" t="s">
        <v>213</v>
      </c>
      <c r="L19" s="48">
        <v>2</v>
      </c>
      <c r="M19" s="48">
        <f t="shared" si="1"/>
        <v>2000</v>
      </c>
      <c r="N19" s="48"/>
      <c r="O19" s="103" t="s">
        <v>247</v>
      </c>
      <c r="P19" s="51"/>
      <c r="Q19" s="51">
        <f t="shared" si="2"/>
        <v>0</v>
      </c>
      <c r="R19" s="49"/>
      <c r="S19" s="51"/>
    </row>
    <row r="20" spans="1:19" s="106" customFormat="1" ht="24.75" thickBot="1" x14ac:dyDescent="0.3">
      <c r="A20" s="104"/>
      <c r="B20" s="37">
        <f>ROW(B20) - ROW($B$9)</f>
        <v>11</v>
      </c>
      <c r="C20" s="68" t="s">
        <v>7</v>
      </c>
      <c r="D20" s="45" t="s">
        <v>23</v>
      </c>
      <c r="E20" s="46" t="s">
        <v>71</v>
      </c>
      <c r="F20" s="45" t="s">
        <v>107</v>
      </c>
      <c r="G20" s="46" t="s">
        <v>147</v>
      </c>
      <c r="H20" s="45" t="s">
        <v>171</v>
      </c>
      <c r="I20" s="45"/>
      <c r="J20" s="45" t="s">
        <v>193</v>
      </c>
      <c r="K20" s="77" t="s">
        <v>214</v>
      </c>
      <c r="L20" s="81">
        <v>4</v>
      </c>
      <c r="M20" s="81">
        <f t="shared" si="1"/>
        <v>4000</v>
      </c>
      <c r="N20" s="45"/>
      <c r="O20" s="102" t="s">
        <v>247</v>
      </c>
      <c r="P20" s="50"/>
      <c r="Q20" s="50">
        <f t="shared" si="2"/>
        <v>0</v>
      </c>
      <c r="R20" s="46"/>
      <c r="S20" s="50"/>
    </row>
    <row r="21" spans="1:19" s="106" customFormat="1" ht="36.75" thickBot="1" x14ac:dyDescent="0.3">
      <c r="A21" s="104"/>
      <c r="B21" s="37">
        <f t="shared" si="0"/>
        <v>12</v>
      </c>
      <c r="C21" s="67" t="s">
        <v>7</v>
      </c>
      <c r="D21" s="48" t="s">
        <v>24</v>
      </c>
      <c r="E21" s="49" t="s">
        <v>72</v>
      </c>
      <c r="F21" s="48" t="s">
        <v>111</v>
      </c>
      <c r="G21" s="49" t="s">
        <v>148</v>
      </c>
      <c r="H21" s="48" t="s">
        <v>171</v>
      </c>
      <c r="I21" s="48"/>
      <c r="J21" s="48" t="s">
        <v>194</v>
      </c>
      <c r="K21" s="78" t="s">
        <v>206</v>
      </c>
      <c r="L21" s="48">
        <v>22</v>
      </c>
      <c r="M21" s="48">
        <f t="shared" si="1"/>
        <v>22000</v>
      </c>
      <c r="N21" s="48"/>
      <c r="O21" s="103" t="s">
        <v>247</v>
      </c>
      <c r="P21" s="51"/>
      <c r="Q21" s="51">
        <f t="shared" si="2"/>
        <v>0</v>
      </c>
      <c r="R21" s="49"/>
      <c r="S21" s="51"/>
    </row>
    <row r="22" spans="1:19" s="106" customFormat="1" ht="15.75" thickBot="1" x14ac:dyDescent="0.3">
      <c r="A22" s="104"/>
      <c r="B22" s="37">
        <f>ROW(B22) - ROW($B$9)</f>
        <v>13</v>
      </c>
      <c r="C22" s="68" t="s">
        <v>7</v>
      </c>
      <c r="D22" s="45" t="s">
        <v>25</v>
      </c>
      <c r="E22" s="46" t="s">
        <v>70</v>
      </c>
      <c r="F22" s="45" t="s">
        <v>108</v>
      </c>
      <c r="G22" s="46" t="s">
        <v>146</v>
      </c>
      <c r="H22" s="45" t="s">
        <v>172</v>
      </c>
      <c r="I22" s="45"/>
      <c r="J22" s="45" t="s">
        <v>275</v>
      </c>
      <c r="K22" s="77" t="s">
        <v>213</v>
      </c>
      <c r="L22" s="81">
        <v>1</v>
      </c>
      <c r="M22" s="81">
        <f t="shared" si="1"/>
        <v>1000</v>
      </c>
      <c r="N22" s="45"/>
      <c r="O22" s="102" t="s">
        <v>247</v>
      </c>
      <c r="P22" s="50"/>
      <c r="Q22" s="50">
        <f t="shared" si="2"/>
        <v>0</v>
      </c>
      <c r="R22" s="46"/>
      <c r="S22" s="50"/>
    </row>
    <row r="23" spans="1:19" s="106" customFormat="1" ht="15.75" thickBot="1" x14ac:dyDescent="0.3">
      <c r="A23" s="104"/>
      <c r="B23" s="37">
        <f t="shared" si="0"/>
        <v>14</v>
      </c>
      <c r="C23" s="67" t="s">
        <v>7</v>
      </c>
      <c r="D23" s="48" t="s">
        <v>26</v>
      </c>
      <c r="E23" s="49" t="s">
        <v>73</v>
      </c>
      <c r="F23" s="48" t="s">
        <v>108</v>
      </c>
      <c r="G23" s="49" t="s">
        <v>149</v>
      </c>
      <c r="H23" s="48" t="s">
        <v>171</v>
      </c>
      <c r="I23" s="48"/>
      <c r="J23" s="48" t="s">
        <v>276</v>
      </c>
      <c r="K23" s="78" t="s">
        <v>215</v>
      </c>
      <c r="L23" s="48">
        <v>1</v>
      </c>
      <c r="M23" s="48">
        <f t="shared" si="1"/>
        <v>1000</v>
      </c>
      <c r="N23" s="48"/>
      <c r="O23" s="103" t="s">
        <v>247</v>
      </c>
      <c r="P23" s="51"/>
      <c r="Q23" s="51">
        <f t="shared" si="2"/>
        <v>0</v>
      </c>
      <c r="R23" s="49"/>
      <c r="S23" s="51"/>
    </row>
    <row r="24" spans="1:19" s="106" customFormat="1" ht="24.75" thickBot="1" x14ac:dyDescent="0.3">
      <c r="A24" s="104"/>
      <c r="B24" s="37">
        <f>ROW(B24) - ROW($B$9)</f>
        <v>15</v>
      </c>
      <c r="C24" s="68" t="s">
        <v>7</v>
      </c>
      <c r="D24" s="45" t="s">
        <v>27</v>
      </c>
      <c r="E24" s="46" t="s">
        <v>74</v>
      </c>
      <c r="F24" s="45" t="s">
        <v>107</v>
      </c>
      <c r="G24" s="46" t="s">
        <v>150</v>
      </c>
      <c r="H24" s="45" t="s">
        <v>171</v>
      </c>
      <c r="I24" s="45"/>
      <c r="J24" s="45" t="s">
        <v>195</v>
      </c>
      <c r="K24" s="77" t="s">
        <v>216</v>
      </c>
      <c r="L24" s="81">
        <v>8</v>
      </c>
      <c r="M24" s="81">
        <f t="shared" si="1"/>
        <v>8000</v>
      </c>
      <c r="N24" s="45"/>
      <c r="O24" s="102" t="s">
        <v>247</v>
      </c>
      <c r="P24" s="50"/>
      <c r="Q24" s="50">
        <f t="shared" si="2"/>
        <v>0</v>
      </c>
      <c r="R24" s="46"/>
      <c r="S24" s="50"/>
    </row>
    <row r="25" spans="1:19" s="106" customFormat="1" ht="15.75" thickBot="1" x14ac:dyDescent="0.3">
      <c r="A25" s="104"/>
      <c r="B25" s="37">
        <f t="shared" si="0"/>
        <v>16</v>
      </c>
      <c r="C25" s="67" t="s">
        <v>7</v>
      </c>
      <c r="D25" s="48" t="s">
        <v>28</v>
      </c>
      <c r="E25" s="49" t="s">
        <v>70</v>
      </c>
      <c r="F25" s="48" t="s">
        <v>107</v>
      </c>
      <c r="G25" s="49" t="s">
        <v>151</v>
      </c>
      <c r="H25" s="48" t="s">
        <v>175</v>
      </c>
      <c r="I25" s="48"/>
      <c r="J25" s="48" t="s">
        <v>196</v>
      </c>
      <c r="K25" s="78" t="s">
        <v>213</v>
      </c>
      <c r="L25" s="48">
        <v>4</v>
      </c>
      <c r="M25" s="48">
        <f t="shared" si="1"/>
        <v>4000</v>
      </c>
      <c r="N25" s="48"/>
      <c r="O25" s="48"/>
      <c r="P25" s="51"/>
      <c r="Q25" s="51">
        <f t="shared" si="2"/>
        <v>0</v>
      </c>
      <c r="R25" s="49"/>
      <c r="S25" s="51"/>
    </row>
    <row r="26" spans="1:19" s="106" customFormat="1" ht="24.75" thickBot="1" x14ac:dyDescent="0.3">
      <c r="A26" s="104"/>
      <c r="B26" s="37">
        <f>ROW(B26) - ROW($B$9)</f>
        <v>17</v>
      </c>
      <c r="C26" s="68" t="s">
        <v>7</v>
      </c>
      <c r="D26" s="45" t="s">
        <v>29</v>
      </c>
      <c r="E26" s="46" t="s">
        <v>75</v>
      </c>
      <c r="F26" s="45" t="s">
        <v>111</v>
      </c>
      <c r="G26" s="46" t="s">
        <v>152</v>
      </c>
      <c r="H26" s="45" t="s">
        <v>171</v>
      </c>
      <c r="I26" s="45"/>
      <c r="J26" s="45" t="s">
        <v>197</v>
      </c>
      <c r="K26" s="77" t="s">
        <v>210</v>
      </c>
      <c r="L26" s="81">
        <v>8</v>
      </c>
      <c r="M26" s="81">
        <f t="shared" si="1"/>
        <v>8000</v>
      </c>
      <c r="N26" s="45"/>
      <c r="O26" s="102" t="s">
        <v>247</v>
      </c>
      <c r="P26" s="50"/>
      <c r="Q26" s="50">
        <f t="shared" si="2"/>
        <v>0</v>
      </c>
      <c r="R26" s="46"/>
      <c r="S26" s="50"/>
    </row>
    <row r="27" spans="1:19" s="106" customFormat="1" ht="24.75" thickBot="1" x14ac:dyDescent="0.3">
      <c r="A27" s="104"/>
      <c r="B27" s="37">
        <f t="shared" si="0"/>
        <v>18</v>
      </c>
      <c r="C27" s="67" t="s">
        <v>7</v>
      </c>
      <c r="D27" s="48" t="s">
        <v>30</v>
      </c>
      <c r="E27" s="49" t="s">
        <v>76</v>
      </c>
      <c r="F27" s="48" t="s">
        <v>112</v>
      </c>
      <c r="G27" s="49" t="s">
        <v>153</v>
      </c>
      <c r="H27" s="48" t="s">
        <v>174</v>
      </c>
      <c r="I27" s="48"/>
      <c r="J27" s="48" t="s">
        <v>277</v>
      </c>
      <c r="K27" s="78" t="s">
        <v>213</v>
      </c>
      <c r="L27" s="48">
        <v>8</v>
      </c>
      <c r="M27" s="48">
        <f t="shared" si="1"/>
        <v>8000</v>
      </c>
      <c r="N27" s="48"/>
      <c r="O27" s="103" t="s">
        <v>247</v>
      </c>
      <c r="P27" s="51"/>
      <c r="Q27" s="51">
        <f t="shared" si="2"/>
        <v>0</v>
      </c>
      <c r="R27" s="49"/>
      <c r="S27" s="51"/>
    </row>
    <row r="28" spans="1:19" s="106" customFormat="1" ht="15.75" thickBot="1" x14ac:dyDescent="0.3">
      <c r="A28" s="104"/>
      <c r="B28" s="37">
        <f>ROW(B28) - ROW($B$9)</f>
        <v>19</v>
      </c>
      <c r="C28" s="68" t="s">
        <v>7</v>
      </c>
      <c r="D28" s="45" t="s">
        <v>31</v>
      </c>
      <c r="E28" s="46" t="s">
        <v>77</v>
      </c>
      <c r="F28" s="45" t="s">
        <v>107</v>
      </c>
      <c r="G28" s="46" t="s">
        <v>154</v>
      </c>
      <c r="H28" s="45" t="s">
        <v>171</v>
      </c>
      <c r="I28" s="45"/>
      <c r="J28" s="45" t="s">
        <v>198</v>
      </c>
      <c r="K28" s="77" t="s">
        <v>213</v>
      </c>
      <c r="L28" s="81">
        <v>4</v>
      </c>
      <c r="M28" s="81">
        <f t="shared" si="1"/>
        <v>4000</v>
      </c>
      <c r="N28" s="45"/>
      <c r="O28" s="102" t="s">
        <v>247</v>
      </c>
      <c r="P28" s="50"/>
      <c r="Q28" s="50">
        <f t="shared" si="2"/>
        <v>0</v>
      </c>
      <c r="R28" s="46"/>
      <c r="S28" s="50"/>
    </row>
    <row r="29" spans="1:19" s="106" customFormat="1" ht="36.75" thickBot="1" x14ac:dyDescent="0.3">
      <c r="A29" s="104"/>
      <c r="B29" s="37">
        <f t="shared" si="0"/>
        <v>20</v>
      </c>
      <c r="C29" s="67" t="s">
        <v>225</v>
      </c>
      <c r="D29" s="48" t="s">
        <v>32</v>
      </c>
      <c r="E29" s="49" t="s">
        <v>78</v>
      </c>
      <c r="F29" s="48" t="s">
        <v>248</v>
      </c>
      <c r="G29" s="48" t="s">
        <v>113</v>
      </c>
      <c r="H29" s="48" t="s">
        <v>176</v>
      </c>
      <c r="I29" s="48"/>
      <c r="J29" s="49" t="s">
        <v>250</v>
      </c>
      <c r="K29" s="78" t="s">
        <v>249</v>
      </c>
      <c r="L29" s="48">
        <v>1</v>
      </c>
      <c r="M29" s="48">
        <f t="shared" si="1"/>
        <v>1000</v>
      </c>
      <c r="N29" s="48"/>
      <c r="O29" s="108" t="s">
        <v>247</v>
      </c>
      <c r="P29" s="84"/>
      <c r="Q29" s="51">
        <f t="shared" si="2"/>
        <v>0</v>
      </c>
      <c r="R29" s="49"/>
      <c r="S29" s="51"/>
    </row>
    <row r="30" spans="1:19" s="106" customFormat="1" ht="24.75" thickBot="1" x14ac:dyDescent="0.3">
      <c r="A30" s="104"/>
      <c r="B30" s="37">
        <f>ROW(B30) - ROW($B$9)</f>
        <v>21</v>
      </c>
      <c r="C30" s="68" t="s">
        <v>225</v>
      </c>
      <c r="D30" s="45" t="s">
        <v>33</v>
      </c>
      <c r="E30" s="46" t="s">
        <v>79</v>
      </c>
      <c r="F30" s="45" t="s">
        <v>114</v>
      </c>
      <c r="G30" s="46" t="s">
        <v>155</v>
      </c>
      <c r="H30" s="45" t="s">
        <v>177</v>
      </c>
      <c r="I30" s="45"/>
      <c r="J30" s="97" t="s">
        <v>251</v>
      </c>
      <c r="K30" s="77" t="s">
        <v>249</v>
      </c>
      <c r="L30" s="81">
        <v>1</v>
      </c>
      <c r="M30" s="81">
        <f t="shared" si="1"/>
        <v>1000</v>
      </c>
      <c r="N30" s="45"/>
      <c r="O30" s="107" t="s">
        <v>247</v>
      </c>
      <c r="P30" s="86"/>
      <c r="Q30" s="50">
        <f t="shared" si="2"/>
        <v>0</v>
      </c>
      <c r="R30" s="46"/>
      <c r="S30" s="50"/>
    </row>
    <row r="31" spans="1:19" s="106" customFormat="1" ht="24.75" thickBot="1" x14ac:dyDescent="0.3">
      <c r="A31" s="104"/>
      <c r="B31" s="37">
        <f t="shared" si="0"/>
        <v>22</v>
      </c>
      <c r="C31" s="67" t="s">
        <v>226</v>
      </c>
      <c r="D31" s="48" t="s">
        <v>34</v>
      </c>
      <c r="E31" s="49" t="s">
        <v>80</v>
      </c>
      <c r="F31" s="48" t="s">
        <v>115</v>
      </c>
      <c r="G31" s="89" t="s">
        <v>156</v>
      </c>
      <c r="H31" s="48" t="s">
        <v>178</v>
      </c>
      <c r="I31" s="48" t="s">
        <v>252</v>
      </c>
      <c r="J31" s="109" t="s">
        <v>253</v>
      </c>
      <c r="K31" s="78" t="s">
        <v>249</v>
      </c>
      <c r="L31" s="48">
        <v>1</v>
      </c>
      <c r="M31" s="48">
        <f t="shared" si="1"/>
        <v>1000</v>
      </c>
      <c r="N31" s="48"/>
      <c r="O31" s="103" t="s">
        <v>247</v>
      </c>
      <c r="P31" s="51"/>
      <c r="Q31" s="51">
        <f t="shared" si="2"/>
        <v>0</v>
      </c>
      <c r="R31" s="49"/>
      <c r="S31" s="51"/>
    </row>
    <row r="32" spans="1:19" s="106" customFormat="1" ht="36.75" thickBot="1" x14ac:dyDescent="0.3">
      <c r="A32" s="104"/>
      <c r="B32" s="37">
        <f>ROW(B32) - ROW($B$9)</f>
        <v>23</v>
      </c>
      <c r="C32" s="68" t="s">
        <v>8</v>
      </c>
      <c r="D32" s="45" t="s">
        <v>35</v>
      </c>
      <c r="E32" s="46" t="s">
        <v>81</v>
      </c>
      <c r="F32" s="45" t="s">
        <v>254</v>
      </c>
      <c r="G32" s="46" t="s">
        <v>116</v>
      </c>
      <c r="H32" s="45" t="s">
        <v>179</v>
      </c>
      <c r="I32" s="45"/>
      <c r="J32" s="45" t="s">
        <v>199</v>
      </c>
      <c r="K32" s="77" t="s">
        <v>249</v>
      </c>
      <c r="L32" s="81">
        <v>1</v>
      </c>
      <c r="M32" s="81">
        <f t="shared" si="1"/>
        <v>1000</v>
      </c>
      <c r="N32" s="45"/>
      <c r="O32" s="110" t="s">
        <v>247</v>
      </c>
      <c r="P32" s="86"/>
      <c r="Q32" s="50">
        <f t="shared" si="2"/>
        <v>0</v>
      </c>
      <c r="R32" s="46"/>
      <c r="S32" s="50"/>
    </row>
    <row r="33" spans="1:19" s="106" customFormat="1" ht="24.75" thickBot="1" x14ac:dyDescent="0.3">
      <c r="A33" s="104"/>
      <c r="B33" s="37">
        <f t="shared" si="0"/>
        <v>24</v>
      </c>
      <c r="C33" s="67" t="s">
        <v>9</v>
      </c>
      <c r="D33" s="48" t="s">
        <v>36</v>
      </c>
      <c r="E33" s="49" t="s">
        <v>82</v>
      </c>
      <c r="F33" s="48" t="s">
        <v>254</v>
      </c>
      <c r="G33" s="49" t="s">
        <v>117</v>
      </c>
      <c r="H33" s="48" t="s">
        <v>180</v>
      </c>
      <c r="I33" s="48"/>
      <c r="J33" s="48"/>
      <c r="K33" s="78" t="s">
        <v>249</v>
      </c>
      <c r="L33" s="48">
        <v>8</v>
      </c>
      <c r="M33" s="48">
        <f t="shared" si="1"/>
        <v>8000</v>
      </c>
      <c r="N33" s="48"/>
      <c r="O33" s="111" t="s">
        <v>255</v>
      </c>
      <c r="P33" s="92"/>
      <c r="Q33" s="51">
        <f t="shared" si="2"/>
        <v>0</v>
      </c>
      <c r="R33" s="49"/>
      <c r="S33" s="51"/>
    </row>
    <row r="34" spans="1:19" s="106" customFormat="1" ht="24.75" thickBot="1" x14ac:dyDescent="0.3">
      <c r="A34" s="104"/>
      <c r="B34" s="37">
        <f>ROW(B34) - ROW($B$9)</f>
        <v>25</v>
      </c>
      <c r="C34" s="71" t="s">
        <v>9</v>
      </c>
      <c r="D34" s="45" t="s">
        <v>37</v>
      </c>
      <c r="E34" s="46" t="s">
        <v>83</v>
      </c>
      <c r="F34" s="45" t="s">
        <v>254</v>
      </c>
      <c r="G34" s="46" t="s">
        <v>118</v>
      </c>
      <c r="H34" s="45" t="s">
        <v>180</v>
      </c>
      <c r="I34" s="45"/>
      <c r="J34" s="45"/>
      <c r="K34" s="77" t="s">
        <v>249</v>
      </c>
      <c r="L34" s="81">
        <v>4</v>
      </c>
      <c r="M34" s="81">
        <f t="shared" si="1"/>
        <v>4000</v>
      </c>
      <c r="N34" s="45"/>
      <c r="O34" s="45"/>
      <c r="P34" s="50"/>
      <c r="Q34" s="50">
        <f t="shared" si="2"/>
        <v>0</v>
      </c>
      <c r="R34" s="46"/>
      <c r="S34" s="50"/>
    </row>
    <row r="35" spans="1:19" s="106" customFormat="1" ht="24.75" thickBot="1" x14ac:dyDescent="0.3">
      <c r="A35" s="104"/>
      <c r="B35" s="37">
        <f t="shared" si="0"/>
        <v>26</v>
      </c>
      <c r="C35" s="67" t="s">
        <v>226</v>
      </c>
      <c r="D35" s="48" t="s">
        <v>38</v>
      </c>
      <c r="E35" s="49" t="s">
        <v>84</v>
      </c>
      <c r="F35" s="48" t="s">
        <v>119</v>
      </c>
      <c r="G35" s="89">
        <v>61300611121</v>
      </c>
      <c r="H35" s="48" t="s">
        <v>181</v>
      </c>
      <c r="I35" s="48" t="s">
        <v>256</v>
      </c>
      <c r="J35" s="98" t="s">
        <v>256</v>
      </c>
      <c r="K35" s="78" t="s">
        <v>249</v>
      </c>
      <c r="L35" s="48">
        <v>1</v>
      </c>
      <c r="M35" s="48">
        <f t="shared" si="1"/>
        <v>1000</v>
      </c>
      <c r="N35" s="48"/>
      <c r="O35" s="111" t="s">
        <v>247</v>
      </c>
      <c r="P35" s="84"/>
      <c r="Q35" s="51">
        <f t="shared" si="2"/>
        <v>0</v>
      </c>
      <c r="R35" s="49"/>
      <c r="S35" s="51"/>
    </row>
    <row r="36" spans="1:19" s="106" customFormat="1" ht="15.75" thickBot="1" x14ac:dyDescent="0.3">
      <c r="A36" s="104"/>
      <c r="B36" s="37">
        <f>ROW(B36) - ROW($B$9)</f>
        <v>27</v>
      </c>
      <c r="C36" s="71" t="s">
        <v>227</v>
      </c>
      <c r="D36" s="45" t="s">
        <v>39</v>
      </c>
      <c r="E36" s="46" t="s">
        <v>85</v>
      </c>
      <c r="F36" s="45" t="s">
        <v>254</v>
      </c>
      <c r="G36" s="45" t="s">
        <v>120</v>
      </c>
      <c r="H36" s="45" t="s">
        <v>249</v>
      </c>
      <c r="I36" s="45" t="s">
        <v>249</v>
      </c>
      <c r="J36" s="45" t="s">
        <v>249</v>
      </c>
      <c r="K36" s="77" t="s">
        <v>249</v>
      </c>
      <c r="L36" s="81">
        <v>5</v>
      </c>
      <c r="M36" s="81">
        <f t="shared" si="1"/>
        <v>5000</v>
      </c>
      <c r="N36" s="45"/>
      <c r="O36" s="45" t="s">
        <v>249</v>
      </c>
      <c r="P36" s="50"/>
      <c r="Q36" s="50" t="s">
        <v>249</v>
      </c>
      <c r="R36" s="46"/>
      <c r="S36" s="50"/>
    </row>
    <row r="37" spans="1:19" s="106" customFormat="1" ht="26.25" thickBot="1" x14ac:dyDescent="0.3">
      <c r="A37" s="104"/>
      <c r="B37" s="37">
        <f t="shared" si="0"/>
        <v>28</v>
      </c>
      <c r="C37" s="67" t="s">
        <v>228</v>
      </c>
      <c r="D37" s="48" t="s">
        <v>40</v>
      </c>
      <c r="E37" s="49" t="s">
        <v>86</v>
      </c>
      <c r="F37" s="48" t="s">
        <v>121</v>
      </c>
      <c r="G37" s="89" t="s">
        <v>157</v>
      </c>
      <c r="H37" s="49" t="s">
        <v>178</v>
      </c>
      <c r="I37" s="112" t="s">
        <v>263</v>
      </c>
      <c r="J37" s="98" t="s">
        <v>264</v>
      </c>
      <c r="K37" s="78" t="s">
        <v>217</v>
      </c>
      <c r="L37" s="48">
        <v>3</v>
      </c>
      <c r="M37" s="48">
        <f t="shared" si="1"/>
        <v>3000</v>
      </c>
      <c r="N37" s="48"/>
      <c r="O37" s="111" t="s">
        <v>247</v>
      </c>
      <c r="P37" s="84"/>
      <c r="Q37" s="51">
        <f t="shared" si="2"/>
        <v>0</v>
      </c>
      <c r="R37" s="49"/>
      <c r="S37" s="51"/>
    </row>
    <row r="38" spans="1:19" s="106" customFormat="1" ht="24.75" thickBot="1" x14ac:dyDescent="0.3">
      <c r="A38" s="104"/>
      <c r="B38" s="37">
        <f>ROW(B38) - ROW($B$9)</f>
        <v>29</v>
      </c>
      <c r="C38" s="68" t="s">
        <v>228</v>
      </c>
      <c r="D38" s="45" t="s">
        <v>41</v>
      </c>
      <c r="E38" s="46" t="s">
        <v>87</v>
      </c>
      <c r="F38" s="45" t="s">
        <v>122</v>
      </c>
      <c r="G38" s="46" t="s">
        <v>158</v>
      </c>
      <c r="H38" s="45" t="s">
        <v>171</v>
      </c>
      <c r="I38" s="45" t="s">
        <v>249</v>
      </c>
      <c r="J38" s="45" t="s">
        <v>278</v>
      </c>
      <c r="K38" s="77" t="s">
        <v>218</v>
      </c>
      <c r="L38" s="81">
        <v>8</v>
      </c>
      <c r="M38" s="81">
        <f t="shared" si="1"/>
        <v>8000</v>
      </c>
      <c r="N38" s="45"/>
      <c r="O38" s="102" t="s">
        <v>247</v>
      </c>
      <c r="P38" s="50"/>
      <c r="Q38" s="50">
        <f t="shared" si="2"/>
        <v>0</v>
      </c>
      <c r="R38" s="46"/>
      <c r="S38" s="50"/>
    </row>
    <row r="39" spans="1:19" s="106" customFormat="1" ht="15.75" thickBot="1" x14ac:dyDescent="0.3">
      <c r="A39" s="104"/>
      <c r="B39" s="37">
        <f t="shared" si="0"/>
        <v>30</v>
      </c>
      <c r="C39" s="67" t="s">
        <v>228</v>
      </c>
      <c r="D39" s="48" t="s">
        <v>42</v>
      </c>
      <c r="E39" s="49" t="s">
        <v>88</v>
      </c>
      <c r="F39" s="48" t="s">
        <v>121</v>
      </c>
      <c r="G39" s="49" t="s">
        <v>159</v>
      </c>
      <c r="H39" s="48" t="s">
        <v>171</v>
      </c>
      <c r="I39" s="48" t="s">
        <v>249</v>
      </c>
      <c r="J39" s="98" t="s">
        <v>268</v>
      </c>
      <c r="K39" s="78" t="s">
        <v>219</v>
      </c>
      <c r="L39" s="48">
        <v>3</v>
      </c>
      <c r="M39" s="48">
        <f t="shared" si="1"/>
        <v>3000</v>
      </c>
      <c r="N39" s="48"/>
      <c r="O39" s="103" t="s">
        <v>247</v>
      </c>
      <c r="P39" s="51"/>
      <c r="Q39" s="51">
        <f t="shared" si="2"/>
        <v>0</v>
      </c>
      <c r="R39" s="49"/>
      <c r="S39" s="51"/>
    </row>
    <row r="40" spans="1:19" s="106" customFormat="1" ht="24.75" thickBot="1" x14ac:dyDescent="0.3">
      <c r="A40" s="104"/>
      <c r="B40" s="37">
        <f>ROW(B40) - ROW($B$9)</f>
        <v>31</v>
      </c>
      <c r="C40" s="68" t="s">
        <v>228</v>
      </c>
      <c r="D40" s="45" t="s">
        <v>43</v>
      </c>
      <c r="E40" s="46" t="s">
        <v>89</v>
      </c>
      <c r="F40" s="45" t="s">
        <v>122</v>
      </c>
      <c r="G40" s="46" t="s">
        <v>160</v>
      </c>
      <c r="H40" s="45" t="s">
        <v>171</v>
      </c>
      <c r="I40" s="45" t="s">
        <v>249</v>
      </c>
      <c r="J40" s="45" t="s">
        <v>200</v>
      </c>
      <c r="K40" s="77" t="s">
        <v>220</v>
      </c>
      <c r="L40" s="81">
        <v>10</v>
      </c>
      <c r="M40" s="81">
        <f t="shared" si="1"/>
        <v>10000</v>
      </c>
      <c r="N40" s="45"/>
      <c r="O40" s="102" t="s">
        <v>247</v>
      </c>
      <c r="P40" s="50"/>
      <c r="Q40" s="50">
        <f t="shared" si="2"/>
        <v>0</v>
      </c>
      <c r="R40" s="46"/>
      <c r="S40" s="50"/>
    </row>
    <row r="41" spans="1:19" s="106" customFormat="1" ht="24.75" thickBot="1" x14ac:dyDescent="0.3">
      <c r="A41" s="104"/>
      <c r="B41" s="37">
        <f t="shared" si="0"/>
        <v>32</v>
      </c>
      <c r="C41" s="67" t="s">
        <v>228</v>
      </c>
      <c r="D41" s="48" t="s">
        <v>44</v>
      </c>
      <c r="E41" s="49" t="s">
        <v>90</v>
      </c>
      <c r="F41" s="48" t="s">
        <v>121</v>
      </c>
      <c r="G41" s="49" t="s">
        <v>161</v>
      </c>
      <c r="H41" s="48" t="s">
        <v>171</v>
      </c>
      <c r="I41" s="48"/>
      <c r="J41" s="98" t="s">
        <v>269</v>
      </c>
      <c r="K41" s="78" t="s">
        <v>221</v>
      </c>
      <c r="L41" s="48">
        <v>2</v>
      </c>
      <c r="M41" s="48">
        <f t="shared" si="1"/>
        <v>2000</v>
      </c>
      <c r="N41" s="48"/>
      <c r="O41" s="103" t="s">
        <v>247</v>
      </c>
      <c r="P41" s="84"/>
      <c r="Q41" s="51">
        <f t="shared" si="2"/>
        <v>0</v>
      </c>
      <c r="R41" s="49"/>
      <c r="S41" s="51"/>
    </row>
    <row r="42" spans="1:19" s="106" customFormat="1" ht="24.75" thickBot="1" x14ac:dyDescent="0.3">
      <c r="A42" s="104"/>
      <c r="B42" s="37">
        <f>ROW(B42) - ROW($B$9)</f>
        <v>33</v>
      </c>
      <c r="C42" s="68" t="s">
        <v>228</v>
      </c>
      <c r="D42" s="45" t="s">
        <v>45</v>
      </c>
      <c r="E42" s="46" t="s">
        <v>91</v>
      </c>
      <c r="F42" s="45" t="s">
        <v>123</v>
      </c>
      <c r="G42" s="46" t="s">
        <v>162</v>
      </c>
      <c r="H42" s="45" t="s">
        <v>171</v>
      </c>
      <c r="I42" s="45" t="s">
        <v>249</v>
      </c>
      <c r="J42" s="45" t="s">
        <v>201</v>
      </c>
      <c r="K42" s="77" t="s">
        <v>222</v>
      </c>
      <c r="L42" s="81">
        <v>16</v>
      </c>
      <c r="M42" s="81">
        <f t="shared" si="1"/>
        <v>16000</v>
      </c>
      <c r="N42" s="45"/>
      <c r="O42" s="102" t="s">
        <v>247</v>
      </c>
      <c r="P42" s="50"/>
      <c r="Q42" s="50">
        <f t="shared" si="2"/>
        <v>0</v>
      </c>
      <c r="R42" s="46"/>
      <c r="S42" s="50"/>
    </row>
    <row r="43" spans="1:19" s="106" customFormat="1" ht="24.75" thickBot="1" x14ac:dyDescent="0.3">
      <c r="A43" s="104"/>
      <c r="B43" s="37">
        <f t="shared" si="0"/>
        <v>34</v>
      </c>
      <c r="C43" s="67" t="s">
        <v>228</v>
      </c>
      <c r="D43" s="48" t="s">
        <v>46</v>
      </c>
      <c r="E43" s="49" t="s">
        <v>92</v>
      </c>
      <c r="F43" s="48" t="s">
        <v>121</v>
      </c>
      <c r="G43" s="49" t="s">
        <v>163</v>
      </c>
      <c r="H43" s="48" t="s">
        <v>171</v>
      </c>
      <c r="I43" s="48" t="s">
        <v>249</v>
      </c>
      <c r="J43" s="98" t="s">
        <v>267</v>
      </c>
      <c r="K43" s="78" t="s">
        <v>222</v>
      </c>
      <c r="L43" s="48">
        <v>1</v>
      </c>
      <c r="M43" s="48">
        <f t="shared" si="1"/>
        <v>1000</v>
      </c>
      <c r="N43" s="48"/>
      <c r="O43" s="111" t="s">
        <v>247</v>
      </c>
      <c r="P43" s="84"/>
      <c r="Q43" s="51">
        <f t="shared" si="2"/>
        <v>0</v>
      </c>
      <c r="R43" s="49"/>
      <c r="S43" s="51"/>
    </row>
    <row r="44" spans="1:19" s="106" customFormat="1" ht="24.75" thickBot="1" x14ac:dyDescent="0.3">
      <c r="A44" s="104"/>
      <c r="B44" s="37">
        <f>ROW(B44) - ROW($B$9)</f>
        <v>35</v>
      </c>
      <c r="C44" s="68" t="s">
        <v>228</v>
      </c>
      <c r="D44" s="45" t="s">
        <v>47</v>
      </c>
      <c r="E44" s="46" t="s">
        <v>93</v>
      </c>
      <c r="F44" s="45" t="s">
        <v>122</v>
      </c>
      <c r="G44" s="46" t="s">
        <v>164</v>
      </c>
      <c r="H44" s="45" t="s">
        <v>171</v>
      </c>
      <c r="I44" s="45" t="s">
        <v>249</v>
      </c>
      <c r="J44" s="45" t="s">
        <v>279</v>
      </c>
      <c r="K44" s="77" t="s">
        <v>223</v>
      </c>
      <c r="L44" s="81">
        <v>4</v>
      </c>
      <c r="M44" s="81">
        <f t="shared" si="1"/>
        <v>4000</v>
      </c>
      <c r="N44" s="45"/>
      <c r="O44" s="102" t="s">
        <v>247</v>
      </c>
      <c r="P44" s="50"/>
      <c r="Q44" s="50">
        <f t="shared" si="2"/>
        <v>0</v>
      </c>
      <c r="R44" s="46"/>
      <c r="S44" s="50"/>
    </row>
    <row r="45" spans="1:19" s="106" customFormat="1" ht="216.75" thickBot="1" x14ac:dyDescent="0.3">
      <c r="A45" s="104"/>
      <c r="B45" s="37">
        <f t="shared" si="0"/>
        <v>36</v>
      </c>
      <c r="C45" s="67" t="s">
        <v>229</v>
      </c>
      <c r="D45" s="48" t="s">
        <v>48</v>
      </c>
      <c r="E45" s="49" t="s">
        <v>94</v>
      </c>
      <c r="F45" s="48" t="s">
        <v>254</v>
      </c>
      <c r="G45" s="48" t="s">
        <v>124</v>
      </c>
      <c r="H45" s="48" t="s">
        <v>249</v>
      </c>
      <c r="I45" s="48" t="s">
        <v>249</v>
      </c>
      <c r="J45" s="48" t="s">
        <v>249</v>
      </c>
      <c r="K45" s="78" t="s">
        <v>249</v>
      </c>
      <c r="L45" s="48">
        <v>106</v>
      </c>
      <c r="M45" s="48">
        <f t="shared" si="1"/>
        <v>106000</v>
      </c>
      <c r="N45" s="48"/>
      <c r="O45" s="48" t="s">
        <v>249</v>
      </c>
      <c r="P45" s="51"/>
      <c r="Q45" s="51" t="s">
        <v>249</v>
      </c>
      <c r="R45" s="49"/>
      <c r="S45" s="51"/>
    </row>
    <row r="46" spans="1:19" s="106" customFormat="1" ht="36.75" thickBot="1" x14ac:dyDescent="0.3">
      <c r="A46" s="104"/>
      <c r="B46" s="37">
        <f>ROW(B46) - ROW($B$9)</f>
        <v>37</v>
      </c>
      <c r="C46" s="68" t="s">
        <v>230</v>
      </c>
      <c r="D46" s="45" t="s">
        <v>49</v>
      </c>
      <c r="E46" s="46" t="s">
        <v>95</v>
      </c>
      <c r="F46" s="45" t="s">
        <v>254</v>
      </c>
      <c r="G46" s="45" t="s">
        <v>125</v>
      </c>
      <c r="H46" s="45" t="s">
        <v>179</v>
      </c>
      <c r="I46" s="45"/>
      <c r="J46" s="97"/>
      <c r="K46" s="77"/>
      <c r="L46" s="81">
        <v>1</v>
      </c>
      <c r="M46" s="81">
        <f t="shared" si="1"/>
        <v>1000</v>
      </c>
      <c r="N46" s="45"/>
      <c r="O46" s="113"/>
      <c r="P46" s="86"/>
      <c r="Q46" s="50">
        <f t="shared" si="2"/>
        <v>0</v>
      </c>
      <c r="R46" s="46"/>
      <c r="S46" s="50"/>
    </row>
    <row r="47" spans="1:19" s="106" customFormat="1" ht="24.75" thickBot="1" x14ac:dyDescent="0.3">
      <c r="A47" s="104"/>
      <c r="B47" s="37">
        <f t="shared" si="0"/>
        <v>38</v>
      </c>
      <c r="C47" s="67" t="s">
        <v>10</v>
      </c>
      <c r="D47" s="48" t="s">
        <v>50</v>
      </c>
      <c r="E47" s="49" t="s">
        <v>96</v>
      </c>
      <c r="F47" s="48" t="s">
        <v>254</v>
      </c>
      <c r="G47" s="49" t="s">
        <v>126</v>
      </c>
      <c r="H47" s="48" t="s">
        <v>182</v>
      </c>
      <c r="I47" s="48" t="s">
        <v>249</v>
      </c>
      <c r="J47" s="48" t="s">
        <v>202</v>
      </c>
      <c r="K47" s="78" t="s">
        <v>249</v>
      </c>
      <c r="L47" s="48">
        <v>1</v>
      </c>
      <c r="M47" s="48">
        <f t="shared" si="1"/>
        <v>1000</v>
      </c>
      <c r="N47" s="48"/>
      <c r="O47" s="108" t="s">
        <v>247</v>
      </c>
      <c r="P47" s="84"/>
      <c r="Q47" s="51">
        <f t="shared" si="2"/>
        <v>0</v>
      </c>
      <c r="R47" s="49"/>
      <c r="S47" s="51"/>
    </row>
    <row r="48" spans="1:19" s="106" customFormat="1" ht="24.75" thickBot="1" x14ac:dyDescent="0.3">
      <c r="A48" s="104"/>
      <c r="B48" s="37">
        <f>ROW(B48) - ROW($B$9)</f>
        <v>39</v>
      </c>
      <c r="C48" s="68" t="s">
        <v>11</v>
      </c>
      <c r="D48" s="45" t="s">
        <v>51</v>
      </c>
      <c r="E48" s="46" t="s">
        <v>97</v>
      </c>
      <c r="F48" s="45" t="s">
        <v>127</v>
      </c>
      <c r="G48" s="46" t="s">
        <v>165</v>
      </c>
      <c r="H48" s="45" t="s">
        <v>177</v>
      </c>
      <c r="I48" s="45"/>
      <c r="J48" s="45" t="s">
        <v>203</v>
      </c>
      <c r="K48" s="77" t="s">
        <v>249</v>
      </c>
      <c r="L48" s="81">
        <v>8</v>
      </c>
      <c r="M48" s="81">
        <f t="shared" si="1"/>
        <v>8000</v>
      </c>
      <c r="N48" s="45"/>
      <c r="O48" s="102" t="s">
        <v>247</v>
      </c>
      <c r="P48" s="50"/>
      <c r="Q48" s="50">
        <f t="shared" si="2"/>
        <v>0</v>
      </c>
      <c r="R48" s="46"/>
      <c r="S48" s="50"/>
    </row>
    <row r="49" spans="1:19" s="106" customFormat="1" ht="36.75" thickBot="1" x14ac:dyDescent="0.3">
      <c r="A49" s="104"/>
      <c r="B49" s="37">
        <f t="shared" si="0"/>
        <v>40</v>
      </c>
      <c r="C49" s="67" t="s">
        <v>11</v>
      </c>
      <c r="D49" s="48" t="s">
        <v>52</v>
      </c>
      <c r="E49" s="49" t="s">
        <v>98</v>
      </c>
      <c r="F49" s="48" t="s">
        <v>128</v>
      </c>
      <c r="G49" s="49" t="s">
        <v>166</v>
      </c>
      <c r="H49" s="48" t="s">
        <v>183</v>
      </c>
      <c r="I49" s="48" t="s">
        <v>249</v>
      </c>
      <c r="J49" s="48" t="s">
        <v>280</v>
      </c>
      <c r="K49" s="78" t="s">
        <v>249</v>
      </c>
      <c r="L49" s="48">
        <v>1</v>
      </c>
      <c r="M49" s="48">
        <f t="shared" si="1"/>
        <v>1000</v>
      </c>
      <c r="N49" s="48"/>
      <c r="O49" s="103" t="s">
        <v>247</v>
      </c>
      <c r="P49" s="51"/>
      <c r="Q49" s="51">
        <f t="shared" si="2"/>
        <v>0</v>
      </c>
      <c r="R49" s="49"/>
      <c r="S49" s="51"/>
    </row>
    <row r="50" spans="1:19" s="106" customFormat="1" ht="24.75" thickBot="1" x14ac:dyDescent="0.3">
      <c r="A50" s="104"/>
      <c r="B50" s="37">
        <f>ROW(B50) - ROW($B$9)</f>
        <v>41</v>
      </c>
      <c r="C50" s="68" t="s">
        <v>11</v>
      </c>
      <c r="D50" s="45" t="s">
        <v>53</v>
      </c>
      <c r="E50" s="46" t="s">
        <v>99</v>
      </c>
      <c r="F50" s="45" t="s">
        <v>129</v>
      </c>
      <c r="G50" s="46" t="s">
        <v>167</v>
      </c>
      <c r="H50" s="45" t="s">
        <v>177</v>
      </c>
      <c r="I50" s="45"/>
      <c r="J50" s="45"/>
      <c r="K50" s="77"/>
      <c r="L50" s="81">
        <v>1</v>
      </c>
      <c r="M50" s="81">
        <f t="shared" si="1"/>
        <v>1000</v>
      </c>
      <c r="N50" s="45"/>
      <c r="O50" s="107" t="s">
        <v>255</v>
      </c>
      <c r="P50" s="95"/>
      <c r="Q50" s="50">
        <f t="shared" si="2"/>
        <v>0</v>
      </c>
      <c r="R50" s="46"/>
      <c r="S50" s="50"/>
    </row>
    <row r="51" spans="1:19" s="106" customFormat="1" ht="24.75" thickBot="1" x14ac:dyDescent="0.3">
      <c r="A51" s="104"/>
      <c r="B51" s="37">
        <f t="shared" si="0"/>
        <v>42</v>
      </c>
      <c r="C51" s="67" t="s">
        <v>11</v>
      </c>
      <c r="D51" s="48" t="s">
        <v>54</v>
      </c>
      <c r="E51" s="49" t="s">
        <v>100</v>
      </c>
      <c r="F51" s="48" t="s">
        <v>265</v>
      </c>
      <c r="G51" s="49" t="s">
        <v>130</v>
      </c>
      <c r="H51" s="48" t="s">
        <v>177</v>
      </c>
      <c r="I51" s="48" t="s">
        <v>249</v>
      </c>
      <c r="J51" s="98" t="s">
        <v>257</v>
      </c>
      <c r="K51" s="78"/>
      <c r="L51" s="48">
        <v>2</v>
      </c>
      <c r="M51" s="48">
        <f t="shared" si="1"/>
        <v>2000</v>
      </c>
      <c r="N51" s="48"/>
      <c r="O51" s="111" t="s">
        <v>247</v>
      </c>
      <c r="P51" s="84"/>
      <c r="Q51" s="51">
        <f t="shared" si="2"/>
        <v>0</v>
      </c>
      <c r="R51" s="49"/>
      <c r="S51" s="51"/>
    </row>
    <row r="52" spans="1:19" s="106" customFormat="1" ht="48.75" thickBot="1" x14ac:dyDescent="0.3">
      <c r="A52" s="104"/>
      <c r="B52" s="37">
        <f>ROW(B52) - ROW($B$9)</f>
        <v>43</v>
      </c>
      <c r="C52" s="68" t="s">
        <v>11</v>
      </c>
      <c r="D52" s="45" t="s">
        <v>55</v>
      </c>
      <c r="E52" s="46" t="s">
        <v>101</v>
      </c>
      <c r="F52" s="45" t="s">
        <v>266</v>
      </c>
      <c r="G52" s="45" t="s">
        <v>131</v>
      </c>
      <c r="H52" s="45" t="s">
        <v>184</v>
      </c>
      <c r="I52" s="45" t="s">
        <v>249</v>
      </c>
      <c r="J52" s="114" t="s">
        <v>258</v>
      </c>
      <c r="K52" s="77"/>
      <c r="L52" s="81">
        <v>1</v>
      </c>
      <c r="M52" s="81">
        <f t="shared" si="1"/>
        <v>1000</v>
      </c>
      <c r="N52" s="45"/>
      <c r="O52" s="107" t="s">
        <v>247</v>
      </c>
      <c r="P52" s="86"/>
      <c r="Q52" s="50">
        <f t="shared" si="2"/>
        <v>0</v>
      </c>
      <c r="R52" s="46"/>
      <c r="S52" s="50"/>
    </row>
    <row r="53" spans="1:19" s="106" customFormat="1" ht="24.75" thickBot="1" x14ac:dyDescent="0.3">
      <c r="A53" s="104"/>
      <c r="B53" s="37">
        <f t="shared" si="0"/>
        <v>44</v>
      </c>
      <c r="C53" s="67" t="s">
        <v>11</v>
      </c>
      <c r="D53" s="48" t="s">
        <v>56</v>
      </c>
      <c r="E53" s="49" t="s">
        <v>102</v>
      </c>
      <c r="F53" s="48" t="s">
        <v>132</v>
      </c>
      <c r="G53" s="49" t="s">
        <v>168</v>
      </c>
      <c r="H53" s="48" t="s">
        <v>177</v>
      </c>
      <c r="I53" s="48"/>
      <c r="J53" s="48"/>
      <c r="K53" s="78"/>
      <c r="L53" s="48">
        <v>1</v>
      </c>
      <c r="M53" s="48">
        <f t="shared" si="1"/>
        <v>1000</v>
      </c>
      <c r="N53" s="48"/>
      <c r="O53" s="48"/>
      <c r="P53" s="51"/>
      <c r="Q53" s="51">
        <f t="shared" si="2"/>
        <v>0</v>
      </c>
      <c r="R53" s="49"/>
      <c r="S53" s="51"/>
    </row>
    <row r="54" spans="1:19" s="106" customFormat="1" ht="24.75" thickBot="1" x14ac:dyDescent="0.3">
      <c r="A54" s="104"/>
      <c r="B54" s="37">
        <f>ROW(B54) - ROW($B$9)</f>
        <v>45</v>
      </c>
      <c r="C54" s="68" t="s">
        <v>11</v>
      </c>
      <c r="D54" s="45" t="s">
        <v>57</v>
      </c>
      <c r="E54" s="46" t="s">
        <v>103</v>
      </c>
      <c r="F54" s="45" t="s">
        <v>133</v>
      </c>
      <c r="G54" s="46" t="s">
        <v>169</v>
      </c>
      <c r="H54" s="45" t="s">
        <v>185</v>
      </c>
      <c r="I54" s="45"/>
      <c r="J54" s="45"/>
      <c r="K54" s="77"/>
      <c r="L54" s="81">
        <v>4</v>
      </c>
      <c r="M54" s="81">
        <f t="shared" si="1"/>
        <v>4000</v>
      </c>
      <c r="N54" s="45"/>
      <c r="O54" s="45"/>
      <c r="P54" s="50"/>
      <c r="Q54" s="50">
        <f t="shared" si="2"/>
        <v>0</v>
      </c>
      <c r="R54" s="46"/>
      <c r="S54" s="50"/>
    </row>
    <row r="55" spans="1:19" s="106" customFormat="1" ht="48.75" thickBot="1" x14ac:dyDescent="0.3">
      <c r="A55" s="104"/>
      <c r="B55" s="37">
        <f t="shared" si="0"/>
        <v>46</v>
      </c>
      <c r="C55" s="67" t="s">
        <v>231</v>
      </c>
      <c r="D55" s="48" t="s">
        <v>58</v>
      </c>
      <c r="E55" s="49" t="s">
        <v>104</v>
      </c>
      <c r="F55" s="48" t="s">
        <v>254</v>
      </c>
      <c r="G55" s="48" t="s">
        <v>134</v>
      </c>
      <c r="H55" s="48" t="s">
        <v>186</v>
      </c>
      <c r="I55" s="48"/>
      <c r="J55" s="98" t="s">
        <v>259</v>
      </c>
      <c r="K55" s="48" t="s">
        <v>260</v>
      </c>
      <c r="L55" s="48">
        <v>1</v>
      </c>
      <c r="M55" s="48">
        <f t="shared" si="1"/>
        <v>1000</v>
      </c>
      <c r="N55" s="48"/>
      <c r="O55" s="103" t="s">
        <v>247</v>
      </c>
      <c r="P55" s="51"/>
      <c r="Q55" s="51">
        <f t="shared" si="2"/>
        <v>0</v>
      </c>
      <c r="R55" s="49"/>
      <c r="S55" s="51"/>
    </row>
    <row r="56" spans="1:19" s="106" customFormat="1" ht="48.75" thickBot="1" x14ac:dyDescent="0.3">
      <c r="A56" s="104"/>
      <c r="B56" s="37">
        <f>ROW(B56) - ROW($B$9)</f>
        <v>47</v>
      </c>
      <c r="C56" s="71" t="s">
        <v>231</v>
      </c>
      <c r="D56" s="45" t="s">
        <v>59</v>
      </c>
      <c r="E56" s="46" t="s">
        <v>105</v>
      </c>
      <c r="F56" s="45" t="s">
        <v>254</v>
      </c>
      <c r="G56" s="46" t="s">
        <v>135</v>
      </c>
      <c r="H56" s="45" t="s">
        <v>187</v>
      </c>
      <c r="I56" s="45"/>
      <c r="J56" s="115" t="s">
        <v>261</v>
      </c>
      <c r="K56" s="82" t="s">
        <v>262</v>
      </c>
      <c r="L56" s="82">
        <v>2</v>
      </c>
      <c r="M56" s="81">
        <f t="shared" si="1"/>
        <v>2000</v>
      </c>
      <c r="N56" s="45"/>
      <c r="O56" s="102" t="s">
        <v>247</v>
      </c>
      <c r="P56" s="50"/>
      <c r="Q56" s="50">
        <f t="shared" si="2"/>
        <v>0</v>
      </c>
      <c r="R56" s="46"/>
      <c r="S56" s="50"/>
    </row>
    <row r="57" spans="1:19" ht="19.5" thickBot="1" x14ac:dyDescent="0.3">
      <c r="A57" s="1"/>
      <c r="B57" s="32"/>
      <c r="C57" s="43"/>
      <c r="D57" s="33"/>
      <c r="E57" s="34"/>
      <c r="F57" s="35"/>
      <c r="G57" s="36"/>
      <c r="H57" s="35"/>
      <c r="I57" s="36"/>
      <c r="J57" s="35"/>
      <c r="K57" s="36"/>
      <c r="L57" s="80"/>
      <c r="M57" s="36"/>
      <c r="N57" s="73" t="s">
        <v>241</v>
      </c>
      <c r="O57" s="74"/>
      <c r="P57" s="74"/>
      <c r="Q57" s="75">
        <f>SUM(Q10:Q56)</f>
        <v>0</v>
      </c>
      <c r="R57" s="62"/>
      <c r="S57" s="63"/>
    </row>
    <row r="58" spans="1:19" ht="19.5" thickBot="1" x14ac:dyDescent="0.3">
      <c r="A58" s="1"/>
      <c r="B58" s="25"/>
      <c r="C58" s="44"/>
      <c r="D58" s="9"/>
      <c r="E58" s="10"/>
      <c r="F58" s="10"/>
      <c r="G58" s="10"/>
      <c r="H58" s="10"/>
      <c r="I58" s="10"/>
      <c r="J58" s="10"/>
      <c r="K58" s="10"/>
      <c r="L58" s="10"/>
      <c r="M58" s="10"/>
      <c r="N58" s="73" t="s">
        <v>242</v>
      </c>
      <c r="O58" s="74"/>
      <c r="P58" s="74"/>
      <c r="Q58" s="76">
        <f>Q57/1000</f>
        <v>0</v>
      </c>
      <c r="R58" s="64"/>
      <c r="S58" s="65"/>
    </row>
  </sheetData>
  <mergeCells count="5">
    <mergeCell ref="K1:S1"/>
    <mergeCell ref="S3:S8"/>
    <mergeCell ref="N57:P57"/>
    <mergeCell ref="R57:S58"/>
    <mergeCell ref="N58:P58"/>
  </mergeCells>
  <conditionalFormatting sqref="O1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{D84F8A0A-78AA-4EF9-A8E4-001126690CFF}</x14:id>
        </ext>
      </extLst>
    </cfRule>
  </conditionalFormatting>
  <conditionalFormatting sqref="O1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{C6BA5C9C-2E0E-48D4-BE53-3793AE6931E7}</x14:id>
        </ext>
      </extLst>
    </cfRule>
  </conditionalFormatting>
  <conditionalFormatting sqref="O29:O3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{32454388-7FBE-45A6-9104-3B13E70ABFAE}</x14:id>
        </ext>
      </extLst>
    </cfRule>
  </conditionalFormatting>
  <conditionalFormatting sqref="O5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{E0DEC523-F60F-431D-8880-E182B4DF74F6}</x14:id>
        </ext>
      </extLst>
    </cfRule>
  </conditionalFormatting>
  <conditionalFormatting sqref="O5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{8F8CD732-9D7C-49BE-ADA5-EC88FFF11076}</x14:id>
        </ext>
      </extLst>
    </cfRule>
  </conditionalFormatting>
  <conditionalFormatting sqref="O4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{FCD72B91-26BC-4F83-B23A-ECE649A17A2B}</x14:id>
        </ext>
      </extLst>
    </cfRule>
  </conditionalFormatting>
  <hyperlinks>
    <hyperlink ref="O12" r:id="rId1" xr:uid="{86FF086D-F40F-4123-A4A5-D69048E769C6}"/>
    <hyperlink ref="O14" r:id="rId2" xr:uid="{864EA64E-B209-4DC1-BA05-9F08AD1B33F3}"/>
    <hyperlink ref="O29" r:id="rId3" xr:uid="{C23A8941-F640-4B64-9F23-6D17C25E89B9}"/>
    <hyperlink ref="O30" r:id="rId4" xr:uid="{CAB7C156-EBDA-4D59-A77B-E04335B84BFD}"/>
    <hyperlink ref="O32" r:id="rId5" xr:uid="{BB8A021C-FA77-4039-88EE-E397650D964E}"/>
    <hyperlink ref="O35" r:id="rId6" xr:uid="{E9CB0564-C8DF-4040-9684-B7D9F44FAF91}"/>
    <hyperlink ref="O52" r:id="rId7" xr:uid="{C451595B-BCD9-46A9-BA13-6D6F5AA2CA30}"/>
    <hyperlink ref="O51" r:id="rId8" xr:uid="{8B9CBD6F-19C3-4A36-8498-E9DFA4B92427}"/>
    <hyperlink ref="O37" r:id="rId9" xr:uid="{596E72A6-B772-49F4-8A2D-F6A5F5B4E6C9}"/>
    <hyperlink ref="O47" r:id="rId10" xr:uid="{41484936-6083-4E8B-A439-55A9272AC768}"/>
    <hyperlink ref="O43" r:id="rId11" xr:uid="{2FE1DEE4-16C1-40EB-A337-FA41C821E610}"/>
    <hyperlink ref="O41" r:id="rId12" xr:uid="{9A69F1E8-B233-4798-B5F0-E5F62B269608}"/>
    <hyperlink ref="O10" r:id="rId13" xr:uid="{19EB47F6-E54E-42AE-988B-40AB12754483}"/>
    <hyperlink ref="O11" r:id="rId14" xr:uid="{8AEF852C-3DE8-426A-A70F-3F3F35C92DA1}"/>
    <hyperlink ref="O13" r:id="rId15" xr:uid="{7281533E-6A62-48DD-B6D3-C49605384B09}"/>
    <hyperlink ref="O15" r:id="rId16" xr:uid="{9E6330BE-A3F0-4940-967A-790A5E156C8C}"/>
    <hyperlink ref="O17" r:id="rId17" xr:uid="{1B05DA6E-7103-4B44-9D16-CEF1C601ED55}"/>
    <hyperlink ref="O18" r:id="rId18" xr:uid="{48D475E7-867B-4E0E-BA26-4A92E79F2D68}"/>
    <hyperlink ref="O19" r:id="rId19" xr:uid="{B6D9B8D2-3614-4A41-88BF-3BD4AEA4F230}"/>
    <hyperlink ref="O20" r:id="rId20" xr:uid="{BDED2872-B026-43D0-B7D1-25E988CEDA05}"/>
    <hyperlink ref="O21" r:id="rId21" xr:uid="{99B5FBAD-0020-4F38-8464-415C151D31FE}"/>
    <hyperlink ref="O22" r:id="rId22" xr:uid="{CF694F2A-B8F2-4573-A02E-3BCC70130508}"/>
    <hyperlink ref="O23" r:id="rId23" xr:uid="{04A8F991-922A-482D-AFFB-3BCEFC6AC1A0}"/>
    <hyperlink ref="O24" r:id="rId24" xr:uid="{2FC8DDA8-DAD8-4E60-9B41-6EB09F948502}"/>
    <hyperlink ref="O26" r:id="rId25" xr:uid="{A71A96ED-F627-4AB9-9289-4C927771B18B}"/>
    <hyperlink ref="O27" r:id="rId26" xr:uid="{D49B60E1-204B-461E-8F29-3027DB209CB8}"/>
    <hyperlink ref="O28" r:id="rId27" xr:uid="{BC2FB719-A189-439A-BFF0-C9CEB7528148}"/>
    <hyperlink ref="O31" r:id="rId28" xr:uid="{E9DE0AC4-9870-46DB-BDFF-AAAC27794F38}"/>
    <hyperlink ref="O38" r:id="rId29" xr:uid="{9D9FE0A5-007D-4EA9-B3C3-F733853627B0}"/>
    <hyperlink ref="O39" r:id="rId30" xr:uid="{5B77020A-4E26-40AA-B82C-2FFDE9885290}"/>
    <hyperlink ref="O40" r:id="rId31" xr:uid="{8A838775-4B3D-4891-8A0D-76D5D90341E3}"/>
    <hyperlink ref="O42" r:id="rId32" xr:uid="{67BC59DE-DE85-4626-930B-FAFD1A5F25BD}"/>
    <hyperlink ref="O44" r:id="rId33" xr:uid="{AE258B0A-BFED-4E99-B0FF-8E97477D7423}"/>
    <hyperlink ref="O48" r:id="rId34" xr:uid="{D5610FD5-C0E8-4426-88DE-EE3BEEB82C96}"/>
    <hyperlink ref="O49" r:id="rId35" xr:uid="{77B28AD9-E6D7-400A-B698-9DC4145A8C9C}"/>
    <hyperlink ref="O55" r:id="rId36" xr:uid="{F970ED8F-F07E-430D-9D4F-460940DEF6D2}"/>
    <hyperlink ref="O56" r:id="rId37" xr:uid="{6F508710-6493-49C6-87F5-6ABA282CFC52}"/>
  </hyperlinks>
  <pageMargins left="0.7" right="0.7" top="0.75" bottom="0.75" header="0.3" footer="0.3"/>
  <drawing r:id="rId3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4F8A0A-78AA-4EF9-A8E4-001126690C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C6BA5C9C-2E0E-48D4-BE53-3793AE6931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2454388-7FBE-45A6-9104-3B13E70ABF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O29:O30</xm:sqref>
        </x14:conditionalFormatting>
        <x14:conditionalFormatting xmlns:xm="http://schemas.microsoft.com/office/excel/2006/main">
          <x14:cfRule type="dataBar" id="{E0DEC523-F60F-431D-8880-E182B4DF74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O50</xm:sqref>
        </x14:conditionalFormatting>
        <x14:conditionalFormatting xmlns:xm="http://schemas.microsoft.com/office/excel/2006/main">
          <x14:cfRule type="dataBar" id="{8F8CD732-9D7C-49BE-ADA5-EC88FFF110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O52</xm:sqref>
        </x14:conditionalFormatting>
        <x14:conditionalFormatting xmlns:xm="http://schemas.microsoft.com/office/excel/2006/main">
          <x14:cfRule type="dataBar" id="{FCD72B91-26BC-4F83-B23A-ECE649A17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C7114-0090-4126-B55D-94BB641514CB}">
  <dimension ref="A1:S58"/>
  <sheetViews>
    <sheetView topLeftCell="E46" workbookViewId="0">
      <selection activeCell="N10" sqref="N10"/>
    </sheetView>
  </sheetViews>
  <sheetFormatPr defaultRowHeight="15" x14ac:dyDescent="0.25"/>
  <cols>
    <col min="2" max="2" width="3" bestFit="1" customWidth="1"/>
    <col min="3" max="3" width="12" customWidth="1"/>
    <col min="4" max="4" width="31.140625" bestFit="1" customWidth="1"/>
    <col min="5" max="5" width="28.140625" customWidth="1"/>
    <col min="6" max="6" width="12.1406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9" bestFit="1" customWidth="1"/>
    <col min="12" max="12" width="8.7109375" bestFit="1" customWidth="1"/>
    <col min="13" max="13" width="21.42578125" bestFit="1" customWidth="1"/>
    <col min="14" max="14" width="18.28515625" bestFit="1" customWidth="1"/>
    <col min="16" max="16" width="21.85546875" bestFit="1" customWidth="1"/>
    <col min="17" max="17" width="22.42578125" bestFit="1" customWidth="1"/>
    <col min="19" max="19" width="26.285156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58"/>
      <c r="L1" s="58"/>
      <c r="M1" s="58"/>
      <c r="N1" s="58"/>
      <c r="O1" s="58"/>
      <c r="P1" s="58"/>
      <c r="Q1" s="58"/>
      <c r="R1" s="58"/>
      <c r="S1" s="59"/>
    </row>
    <row r="2" spans="1:19" ht="32.25" thickBot="1" x14ac:dyDescent="0.3">
      <c r="A2" s="1"/>
      <c r="B2" s="21"/>
      <c r="C2" s="38"/>
      <c r="D2" s="11" t="s">
        <v>0</v>
      </c>
      <c r="E2" s="11"/>
      <c r="F2" s="54" t="s">
        <v>281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9"/>
      <c r="D3" s="13" t="s">
        <v>1</v>
      </c>
      <c r="E3" s="13"/>
      <c r="F3" s="55" t="s">
        <v>282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0"/>
    </row>
    <row r="4" spans="1:19" x14ac:dyDescent="0.25">
      <c r="A4" s="1"/>
      <c r="B4" s="22"/>
      <c r="C4" s="39"/>
      <c r="D4" s="13" t="s">
        <v>2</v>
      </c>
      <c r="E4" s="13"/>
      <c r="F4" s="56" t="s">
        <v>282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1"/>
    </row>
    <row r="5" spans="1:19" x14ac:dyDescent="0.25">
      <c r="A5" s="1"/>
      <c r="B5" s="22"/>
      <c r="C5" s="39"/>
      <c r="D5" s="13" t="s">
        <v>3</v>
      </c>
      <c r="E5" s="13"/>
      <c r="F5" s="57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1"/>
    </row>
    <row r="6" spans="1:19" x14ac:dyDescent="0.25">
      <c r="A6" s="1"/>
      <c r="B6" s="23"/>
      <c r="C6" s="40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1"/>
    </row>
    <row r="7" spans="1:19" x14ac:dyDescent="0.25">
      <c r="A7" s="1"/>
      <c r="B7" s="24"/>
      <c r="C7" s="41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1"/>
    </row>
    <row r="8" spans="1:19" ht="15.75" thickBot="1" x14ac:dyDescent="0.3">
      <c r="A8" s="1"/>
      <c r="B8" s="27"/>
      <c r="C8" s="42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1"/>
    </row>
    <row r="9" spans="1:19" ht="15.75" thickBot="1" x14ac:dyDescent="0.3">
      <c r="A9" s="1"/>
      <c r="B9" s="72" t="s">
        <v>4</v>
      </c>
      <c r="C9" s="30" t="s">
        <v>6</v>
      </c>
      <c r="D9" s="31" t="s">
        <v>12</v>
      </c>
      <c r="E9" s="30" t="s">
        <v>60</v>
      </c>
      <c r="F9" s="31" t="s">
        <v>106</v>
      </c>
      <c r="G9" s="30" t="s">
        <v>136</v>
      </c>
      <c r="H9" s="31" t="s">
        <v>170</v>
      </c>
      <c r="I9" s="30" t="s">
        <v>232</v>
      </c>
      <c r="J9" s="31" t="s">
        <v>188</v>
      </c>
      <c r="K9" s="30" t="s">
        <v>233</v>
      </c>
      <c r="L9" s="31" t="s">
        <v>224</v>
      </c>
      <c r="M9" s="30" t="s">
        <v>234</v>
      </c>
      <c r="N9" s="31" t="s">
        <v>235</v>
      </c>
      <c r="O9" s="30" t="s">
        <v>236</v>
      </c>
      <c r="P9" s="31" t="s">
        <v>237</v>
      </c>
      <c r="Q9" s="30" t="s">
        <v>238</v>
      </c>
      <c r="R9" s="30" t="s">
        <v>239</v>
      </c>
      <c r="S9" s="30" t="s">
        <v>240</v>
      </c>
    </row>
    <row r="10" spans="1:19" s="106" customFormat="1" ht="36.75" thickBot="1" x14ac:dyDescent="0.3">
      <c r="A10" s="104"/>
      <c r="B10" s="37">
        <f>ROW(B10) - ROW($B$9)</f>
        <v>1</v>
      </c>
      <c r="C10" s="71" t="s">
        <v>7</v>
      </c>
      <c r="D10" s="45" t="s">
        <v>13</v>
      </c>
      <c r="E10" s="46" t="s">
        <v>61</v>
      </c>
      <c r="F10" s="45" t="s">
        <v>107</v>
      </c>
      <c r="G10" s="46" t="s">
        <v>137</v>
      </c>
      <c r="H10" s="45" t="s">
        <v>171</v>
      </c>
      <c r="I10" s="45" t="s">
        <v>249</v>
      </c>
      <c r="J10" s="45" t="s">
        <v>189</v>
      </c>
      <c r="K10" s="77" t="s">
        <v>204</v>
      </c>
      <c r="L10" s="52">
        <v>20</v>
      </c>
      <c r="M10" s="81">
        <f>L10*5000</f>
        <v>100000</v>
      </c>
      <c r="N10" s="45"/>
      <c r="O10" s="102" t="s">
        <v>247</v>
      </c>
      <c r="P10" s="50"/>
      <c r="Q10" s="50">
        <f>P10*N10</f>
        <v>0</v>
      </c>
      <c r="R10" s="46"/>
      <c r="S10" s="105"/>
    </row>
    <row r="11" spans="1:19" s="106" customFormat="1" ht="15.75" thickBot="1" x14ac:dyDescent="0.3">
      <c r="A11" s="104"/>
      <c r="B11" s="37">
        <f t="shared" ref="B11:B55" si="0">ROW(B11) - ROW($B$9)</f>
        <v>2</v>
      </c>
      <c r="C11" s="67" t="s">
        <v>7</v>
      </c>
      <c r="D11" s="48" t="s">
        <v>14</v>
      </c>
      <c r="E11" s="49" t="s">
        <v>62</v>
      </c>
      <c r="F11" s="48" t="s">
        <v>108</v>
      </c>
      <c r="G11" s="49" t="s">
        <v>138</v>
      </c>
      <c r="H11" s="48" t="s">
        <v>172</v>
      </c>
      <c r="I11" s="48" t="s">
        <v>249</v>
      </c>
      <c r="J11" s="48" t="s">
        <v>270</v>
      </c>
      <c r="K11" s="78" t="s">
        <v>205</v>
      </c>
      <c r="L11" s="79">
        <v>1</v>
      </c>
      <c r="M11" s="48">
        <f t="shared" ref="M11:M56" si="1">L11*5000</f>
        <v>5000</v>
      </c>
      <c r="N11" s="48"/>
      <c r="O11" s="103" t="s">
        <v>247</v>
      </c>
      <c r="P11" s="51"/>
      <c r="Q11" s="51">
        <f t="shared" ref="Q11:Q56" si="2">P11*N11</f>
        <v>0</v>
      </c>
      <c r="R11" s="49"/>
      <c r="S11" s="51"/>
    </row>
    <row r="12" spans="1:19" s="106" customFormat="1" ht="36.75" thickBot="1" x14ac:dyDescent="0.3">
      <c r="A12" s="104"/>
      <c r="B12" s="37">
        <f>ROW(B12) - ROW($B$9)</f>
        <v>3</v>
      </c>
      <c r="C12" s="68" t="s">
        <v>7</v>
      </c>
      <c r="D12" s="45" t="s">
        <v>15</v>
      </c>
      <c r="E12" s="46" t="s">
        <v>63</v>
      </c>
      <c r="F12" s="45" t="s">
        <v>107</v>
      </c>
      <c r="G12" s="46" t="s">
        <v>139</v>
      </c>
      <c r="H12" s="45" t="s">
        <v>171</v>
      </c>
      <c r="I12" s="45" t="s">
        <v>249</v>
      </c>
      <c r="J12" s="45" t="s">
        <v>190</v>
      </c>
      <c r="K12" s="77" t="s">
        <v>206</v>
      </c>
      <c r="L12" s="81">
        <v>21</v>
      </c>
      <c r="M12" s="81">
        <f t="shared" si="1"/>
        <v>105000</v>
      </c>
      <c r="N12" s="45"/>
      <c r="O12" s="107" t="s">
        <v>247</v>
      </c>
      <c r="P12" s="86"/>
      <c r="Q12" s="50">
        <f t="shared" si="2"/>
        <v>0</v>
      </c>
      <c r="R12" s="46"/>
      <c r="S12" s="50"/>
    </row>
    <row r="13" spans="1:19" s="106" customFormat="1" ht="24.75" thickBot="1" x14ac:dyDescent="0.3">
      <c r="A13" s="104"/>
      <c r="B13" s="37">
        <f t="shared" si="0"/>
        <v>4</v>
      </c>
      <c r="C13" s="67" t="s">
        <v>7</v>
      </c>
      <c r="D13" s="48" t="s">
        <v>16</v>
      </c>
      <c r="E13" s="49" t="s">
        <v>64</v>
      </c>
      <c r="F13" s="48" t="s">
        <v>109</v>
      </c>
      <c r="G13" s="49" t="s">
        <v>140</v>
      </c>
      <c r="H13" s="48" t="s">
        <v>171</v>
      </c>
      <c r="I13" s="48" t="s">
        <v>249</v>
      </c>
      <c r="J13" s="48" t="s">
        <v>271</v>
      </c>
      <c r="K13" s="78" t="s">
        <v>207</v>
      </c>
      <c r="L13" s="48">
        <v>12</v>
      </c>
      <c r="M13" s="48">
        <f t="shared" si="1"/>
        <v>60000</v>
      </c>
      <c r="N13" s="48"/>
      <c r="O13" s="103" t="s">
        <v>247</v>
      </c>
      <c r="P13" s="51"/>
      <c r="Q13" s="51">
        <f t="shared" si="2"/>
        <v>0</v>
      </c>
      <c r="R13" s="49"/>
      <c r="S13" s="51"/>
    </row>
    <row r="14" spans="1:19" s="106" customFormat="1" ht="15.75" thickBot="1" x14ac:dyDescent="0.3">
      <c r="A14" s="104"/>
      <c r="B14" s="37">
        <f>ROW(B14) - ROW($B$9)</f>
        <v>5</v>
      </c>
      <c r="C14" s="68" t="s">
        <v>7</v>
      </c>
      <c r="D14" s="45" t="s">
        <v>17</v>
      </c>
      <c r="E14" s="46" t="s">
        <v>65</v>
      </c>
      <c r="F14" s="45" t="s">
        <v>110</v>
      </c>
      <c r="G14" s="46" t="s">
        <v>141</v>
      </c>
      <c r="H14" s="45" t="s">
        <v>173</v>
      </c>
      <c r="I14" s="45" t="s">
        <v>249</v>
      </c>
      <c r="J14" s="45" t="s">
        <v>191</v>
      </c>
      <c r="K14" s="77" t="s">
        <v>208</v>
      </c>
      <c r="L14" s="81">
        <v>2</v>
      </c>
      <c r="M14" s="81">
        <f t="shared" si="1"/>
        <v>10000</v>
      </c>
      <c r="N14" s="45"/>
      <c r="O14" s="107" t="s">
        <v>247</v>
      </c>
      <c r="P14" s="86"/>
      <c r="Q14" s="50">
        <f t="shared" si="2"/>
        <v>0</v>
      </c>
      <c r="R14" s="46"/>
      <c r="S14" s="50"/>
    </row>
    <row r="15" spans="1:19" s="106" customFormat="1" ht="24.75" thickBot="1" x14ac:dyDescent="0.3">
      <c r="A15" s="104"/>
      <c r="B15" s="37">
        <f t="shared" si="0"/>
        <v>6</v>
      </c>
      <c r="C15" s="67" t="s">
        <v>7</v>
      </c>
      <c r="D15" s="48" t="s">
        <v>18</v>
      </c>
      <c r="E15" s="49" t="s">
        <v>66</v>
      </c>
      <c r="F15" s="48" t="s">
        <v>108</v>
      </c>
      <c r="G15" s="49" t="s">
        <v>142</v>
      </c>
      <c r="H15" s="48" t="s">
        <v>171</v>
      </c>
      <c r="I15" s="48" t="s">
        <v>249</v>
      </c>
      <c r="J15" s="48" t="s">
        <v>272</v>
      </c>
      <c r="K15" s="78" t="s">
        <v>209</v>
      </c>
      <c r="L15" s="48">
        <v>12</v>
      </c>
      <c r="M15" s="48">
        <f t="shared" si="1"/>
        <v>60000</v>
      </c>
      <c r="N15" s="48"/>
      <c r="O15" s="103" t="s">
        <v>247</v>
      </c>
      <c r="P15" s="51"/>
      <c r="Q15" s="51">
        <f t="shared" si="2"/>
        <v>0</v>
      </c>
      <c r="R15" s="49"/>
      <c r="S15" s="51"/>
    </row>
    <row r="16" spans="1:19" s="106" customFormat="1" ht="15.75" thickBot="1" x14ac:dyDescent="0.3">
      <c r="A16" s="104"/>
      <c r="B16" s="37">
        <f>ROW(B16) - ROW($B$9)</f>
        <v>7</v>
      </c>
      <c r="C16" s="68" t="s">
        <v>7</v>
      </c>
      <c r="D16" s="45" t="s">
        <v>19</v>
      </c>
      <c r="E16" s="46" t="s">
        <v>67</v>
      </c>
      <c r="F16" s="45" t="s">
        <v>107</v>
      </c>
      <c r="G16" s="46" t="s">
        <v>143</v>
      </c>
      <c r="H16" s="45" t="s">
        <v>171</v>
      </c>
      <c r="I16" s="45"/>
      <c r="J16" s="45" t="s">
        <v>192</v>
      </c>
      <c r="K16" s="77" t="s">
        <v>210</v>
      </c>
      <c r="L16" s="81">
        <v>4</v>
      </c>
      <c r="M16" s="81">
        <f t="shared" si="1"/>
        <v>20000</v>
      </c>
      <c r="N16" s="45"/>
      <c r="O16" s="45"/>
      <c r="P16" s="50"/>
      <c r="Q16" s="50">
        <f t="shared" si="2"/>
        <v>0</v>
      </c>
      <c r="R16" s="46"/>
      <c r="S16" s="50"/>
    </row>
    <row r="17" spans="1:19" s="106" customFormat="1" ht="15.75" thickBot="1" x14ac:dyDescent="0.3">
      <c r="A17" s="104"/>
      <c r="B17" s="37">
        <f t="shared" si="0"/>
        <v>8</v>
      </c>
      <c r="C17" s="67" t="s">
        <v>7</v>
      </c>
      <c r="D17" s="48" t="s">
        <v>20</v>
      </c>
      <c r="E17" s="49" t="s">
        <v>68</v>
      </c>
      <c r="F17" s="48" t="s">
        <v>108</v>
      </c>
      <c r="G17" s="49" t="s">
        <v>144</v>
      </c>
      <c r="H17" s="48" t="s">
        <v>174</v>
      </c>
      <c r="I17" s="48" t="s">
        <v>249</v>
      </c>
      <c r="J17" s="48" t="s">
        <v>273</v>
      </c>
      <c r="K17" s="78" t="s">
        <v>211</v>
      </c>
      <c r="L17" s="48">
        <v>1</v>
      </c>
      <c r="M17" s="48">
        <f t="shared" si="1"/>
        <v>5000</v>
      </c>
      <c r="N17" s="48"/>
      <c r="O17" s="103" t="s">
        <v>247</v>
      </c>
      <c r="P17" s="51"/>
      <c r="Q17" s="51">
        <f t="shared" si="2"/>
        <v>0</v>
      </c>
      <c r="R17" s="49"/>
      <c r="S17" s="51"/>
    </row>
    <row r="18" spans="1:19" s="123" customFormat="1" ht="15.75" thickBot="1" x14ac:dyDescent="0.3">
      <c r="A18" s="116"/>
      <c r="B18" s="117">
        <f>ROW(B18) - ROW($B$9)</f>
        <v>9</v>
      </c>
      <c r="C18" s="70" t="s">
        <v>7</v>
      </c>
      <c r="D18" s="118" t="s">
        <v>21</v>
      </c>
      <c r="E18" s="119" t="s">
        <v>69</v>
      </c>
      <c r="F18" s="118" t="s">
        <v>108</v>
      </c>
      <c r="G18" s="119" t="s">
        <v>145</v>
      </c>
      <c r="H18" s="118" t="s">
        <v>171</v>
      </c>
      <c r="I18" s="118" t="s">
        <v>249</v>
      </c>
      <c r="J18" s="118" t="s">
        <v>274</v>
      </c>
      <c r="K18" s="120" t="s">
        <v>212</v>
      </c>
      <c r="L18" s="124">
        <v>6</v>
      </c>
      <c r="M18" s="81">
        <f t="shared" si="1"/>
        <v>30000</v>
      </c>
      <c r="N18" s="118"/>
      <c r="O18" s="121" t="s">
        <v>247</v>
      </c>
      <c r="P18" s="122"/>
      <c r="Q18" s="122">
        <f t="shared" si="2"/>
        <v>0</v>
      </c>
      <c r="R18" s="119"/>
      <c r="S18" s="122"/>
    </row>
    <row r="19" spans="1:19" s="106" customFormat="1" ht="15.75" thickBot="1" x14ac:dyDescent="0.3">
      <c r="A19" s="104"/>
      <c r="B19" s="37">
        <f t="shared" si="0"/>
        <v>10</v>
      </c>
      <c r="C19" s="67" t="s">
        <v>7</v>
      </c>
      <c r="D19" s="48" t="s">
        <v>22</v>
      </c>
      <c r="E19" s="49" t="s">
        <v>70</v>
      </c>
      <c r="F19" s="48" t="s">
        <v>108</v>
      </c>
      <c r="G19" s="49" t="s">
        <v>146</v>
      </c>
      <c r="H19" s="48" t="s">
        <v>172</v>
      </c>
      <c r="I19" s="48" t="s">
        <v>249</v>
      </c>
      <c r="J19" s="48" t="s">
        <v>275</v>
      </c>
      <c r="K19" s="78" t="s">
        <v>213</v>
      </c>
      <c r="L19" s="48">
        <v>2</v>
      </c>
      <c r="M19" s="48">
        <f t="shared" si="1"/>
        <v>10000</v>
      </c>
      <c r="N19" s="48"/>
      <c r="O19" s="103" t="s">
        <v>247</v>
      </c>
      <c r="P19" s="51"/>
      <c r="Q19" s="51">
        <f t="shared" si="2"/>
        <v>0</v>
      </c>
      <c r="R19" s="49"/>
      <c r="S19" s="51"/>
    </row>
    <row r="20" spans="1:19" s="123" customFormat="1" ht="15.75" thickBot="1" x14ac:dyDescent="0.3">
      <c r="A20" s="116"/>
      <c r="B20" s="117">
        <f>ROW(B20) - ROW($B$9)</f>
        <v>11</v>
      </c>
      <c r="C20" s="70" t="s">
        <v>7</v>
      </c>
      <c r="D20" s="118" t="s">
        <v>23</v>
      </c>
      <c r="E20" s="119" t="s">
        <v>71</v>
      </c>
      <c r="F20" s="118" t="s">
        <v>107</v>
      </c>
      <c r="G20" s="119" t="s">
        <v>147</v>
      </c>
      <c r="H20" s="118" t="s">
        <v>171</v>
      </c>
      <c r="I20" s="118"/>
      <c r="J20" s="118" t="s">
        <v>193</v>
      </c>
      <c r="K20" s="120" t="s">
        <v>214</v>
      </c>
      <c r="L20" s="124">
        <v>4</v>
      </c>
      <c r="M20" s="81">
        <f t="shared" si="1"/>
        <v>20000</v>
      </c>
      <c r="N20" s="118"/>
      <c r="O20" s="121" t="s">
        <v>247</v>
      </c>
      <c r="P20" s="122"/>
      <c r="Q20" s="122">
        <f t="shared" si="2"/>
        <v>0</v>
      </c>
      <c r="R20" s="119"/>
      <c r="S20" s="122"/>
    </row>
    <row r="21" spans="1:19" s="106" customFormat="1" ht="36.75" thickBot="1" x14ac:dyDescent="0.3">
      <c r="A21" s="104"/>
      <c r="B21" s="37">
        <f t="shared" si="0"/>
        <v>12</v>
      </c>
      <c r="C21" s="67" t="s">
        <v>7</v>
      </c>
      <c r="D21" s="48" t="s">
        <v>24</v>
      </c>
      <c r="E21" s="49" t="s">
        <v>72</v>
      </c>
      <c r="F21" s="48" t="s">
        <v>111</v>
      </c>
      <c r="G21" s="49" t="s">
        <v>148</v>
      </c>
      <c r="H21" s="48" t="s">
        <v>171</v>
      </c>
      <c r="I21" s="48"/>
      <c r="J21" s="48" t="s">
        <v>194</v>
      </c>
      <c r="K21" s="78" t="s">
        <v>206</v>
      </c>
      <c r="L21" s="48">
        <v>22</v>
      </c>
      <c r="M21" s="48">
        <f t="shared" si="1"/>
        <v>110000</v>
      </c>
      <c r="N21" s="48"/>
      <c r="O21" s="103" t="s">
        <v>247</v>
      </c>
      <c r="P21" s="51"/>
      <c r="Q21" s="51">
        <f t="shared" si="2"/>
        <v>0</v>
      </c>
      <c r="R21" s="49"/>
      <c r="S21" s="51"/>
    </row>
    <row r="22" spans="1:19" s="106" customFormat="1" ht="15.75" thickBot="1" x14ac:dyDescent="0.3">
      <c r="A22" s="104"/>
      <c r="B22" s="37">
        <f>ROW(B22) - ROW($B$9)</f>
        <v>13</v>
      </c>
      <c r="C22" s="68" t="s">
        <v>7</v>
      </c>
      <c r="D22" s="45" t="s">
        <v>25</v>
      </c>
      <c r="E22" s="46" t="s">
        <v>70</v>
      </c>
      <c r="F22" s="45" t="s">
        <v>108</v>
      </c>
      <c r="G22" s="46" t="s">
        <v>146</v>
      </c>
      <c r="H22" s="45" t="s">
        <v>172</v>
      </c>
      <c r="I22" s="45"/>
      <c r="J22" s="45" t="s">
        <v>275</v>
      </c>
      <c r="K22" s="77" t="s">
        <v>213</v>
      </c>
      <c r="L22" s="81">
        <v>1</v>
      </c>
      <c r="M22" s="81">
        <f t="shared" si="1"/>
        <v>5000</v>
      </c>
      <c r="N22" s="45"/>
      <c r="O22" s="102" t="s">
        <v>247</v>
      </c>
      <c r="P22" s="50"/>
      <c r="Q22" s="50">
        <f t="shared" si="2"/>
        <v>0</v>
      </c>
      <c r="R22" s="46"/>
      <c r="S22" s="50"/>
    </row>
    <row r="23" spans="1:19" s="106" customFormat="1" ht="15.75" thickBot="1" x14ac:dyDescent="0.3">
      <c r="A23" s="104"/>
      <c r="B23" s="37">
        <f t="shared" si="0"/>
        <v>14</v>
      </c>
      <c r="C23" s="67" t="s">
        <v>7</v>
      </c>
      <c r="D23" s="48" t="s">
        <v>26</v>
      </c>
      <c r="E23" s="49" t="s">
        <v>73</v>
      </c>
      <c r="F23" s="48" t="s">
        <v>108</v>
      </c>
      <c r="G23" s="49" t="s">
        <v>149</v>
      </c>
      <c r="H23" s="48" t="s">
        <v>171</v>
      </c>
      <c r="I23" s="48"/>
      <c r="J23" s="48" t="s">
        <v>276</v>
      </c>
      <c r="K23" s="78" t="s">
        <v>215</v>
      </c>
      <c r="L23" s="48">
        <v>1</v>
      </c>
      <c r="M23" s="48">
        <f t="shared" si="1"/>
        <v>5000</v>
      </c>
      <c r="N23" s="48"/>
      <c r="O23" s="103" t="s">
        <v>247</v>
      </c>
      <c r="P23" s="51"/>
      <c r="Q23" s="51">
        <f t="shared" si="2"/>
        <v>0</v>
      </c>
      <c r="R23" s="49"/>
      <c r="S23" s="51"/>
    </row>
    <row r="24" spans="1:19" s="106" customFormat="1" ht="24.75" thickBot="1" x14ac:dyDescent="0.3">
      <c r="A24" s="104"/>
      <c r="B24" s="37">
        <f>ROW(B24) - ROW($B$9)</f>
        <v>15</v>
      </c>
      <c r="C24" s="68" t="s">
        <v>7</v>
      </c>
      <c r="D24" s="45" t="s">
        <v>27</v>
      </c>
      <c r="E24" s="46" t="s">
        <v>74</v>
      </c>
      <c r="F24" s="45" t="s">
        <v>107</v>
      </c>
      <c r="G24" s="46" t="s">
        <v>150</v>
      </c>
      <c r="H24" s="45" t="s">
        <v>171</v>
      </c>
      <c r="I24" s="45"/>
      <c r="J24" s="45" t="s">
        <v>195</v>
      </c>
      <c r="K24" s="77" t="s">
        <v>216</v>
      </c>
      <c r="L24" s="81">
        <v>8</v>
      </c>
      <c r="M24" s="81">
        <f t="shared" si="1"/>
        <v>40000</v>
      </c>
      <c r="N24" s="45"/>
      <c r="O24" s="102" t="s">
        <v>247</v>
      </c>
      <c r="P24" s="50"/>
      <c r="Q24" s="50">
        <f t="shared" si="2"/>
        <v>0</v>
      </c>
      <c r="R24" s="46"/>
      <c r="S24" s="50"/>
    </row>
    <row r="25" spans="1:19" s="106" customFormat="1" ht="15.75" thickBot="1" x14ac:dyDescent="0.3">
      <c r="A25" s="104"/>
      <c r="B25" s="37">
        <f t="shared" si="0"/>
        <v>16</v>
      </c>
      <c r="C25" s="67" t="s">
        <v>7</v>
      </c>
      <c r="D25" s="48" t="s">
        <v>28</v>
      </c>
      <c r="E25" s="49" t="s">
        <v>70</v>
      </c>
      <c r="F25" s="48" t="s">
        <v>107</v>
      </c>
      <c r="G25" s="49" t="s">
        <v>151</v>
      </c>
      <c r="H25" s="48" t="s">
        <v>175</v>
      </c>
      <c r="I25" s="48"/>
      <c r="J25" s="48" t="s">
        <v>196</v>
      </c>
      <c r="K25" s="78" t="s">
        <v>213</v>
      </c>
      <c r="L25" s="48">
        <v>4</v>
      </c>
      <c r="M25" s="48">
        <f t="shared" si="1"/>
        <v>20000</v>
      </c>
      <c r="N25" s="48"/>
      <c r="O25" s="48"/>
      <c r="P25" s="51"/>
      <c r="Q25" s="51">
        <f t="shared" si="2"/>
        <v>0</v>
      </c>
      <c r="R25" s="49"/>
      <c r="S25" s="51"/>
    </row>
    <row r="26" spans="1:19" s="106" customFormat="1" ht="24.75" thickBot="1" x14ac:dyDescent="0.3">
      <c r="A26" s="104"/>
      <c r="B26" s="37">
        <f>ROW(B26) - ROW($B$9)</f>
        <v>17</v>
      </c>
      <c r="C26" s="68" t="s">
        <v>7</v>
      </c>
      <c r="D26" s="45" t="s">
        <v>29</v>
      </c>
      <c r="E26" s="46" t="s">
        <v>75</v>
      </c>
      <c r="F26" s="45" t="s">
        <v>111</v>
      </c>
      <c r="G26" s="46" t="s">
        <v>152</v>
      </c>
      <c r="H26" s="45" t="s">
        <v>171</v>
      </c>
      <c r="I26" s="45"/>
      <c r="J26" s="45" t="s">
        <v>197</v>
      </c>
      <c r="K26" s="77" t="s">
        <v>210</v>
      </c>
      <c r="L26" s="81">
        <v>8</v>
      </c>
      <c r="M26" s="81">
        <f t="shared" si="1"/>
        <v>40000</v>
      </c>
      <c r="N26" s="45"/>
      <c r="O26" s="102" t="s">
        <v>247</v>
      </c>
      <c r="P26" s="50"/>
      <c r="Q26" s="50">
        <f t="shared" si="2"/>
        <v>0</v>
      </c>
      <c r="R26" s="46"/>
      <c r="S26" s="50"/>
    </row>
    <row r="27" spans="1:19" s="106" customFormat="1" ht="24.75" thickBot="1" x14ac:dyDescent="0.3">
      <c r="A27" s="104"/>
      <c r="B27" s="37">
        <f t="shared" si="0"/>
        <v>18</v>
      </c>
      <c r="C27" s="67" t="s">
        <v>7</v>
      </c>
      <c r="D27" s="48" t="s">
        <v>30</v>
      </c>
      <c r="E27" s="49" t="s">
        <v>76</v>
      </c>
      <c r="F27" s="48" t="s">
        <v>112</v>
      </c>
      <c r="G27" s="49" t="s">
        <v>153</v>
      </c>
      <c r="H27" s="48" t="s">
        <v>174</v>
      </c>
      <c r="I27" s="48"/>
      <c r="J27" s="48" t="s">
        <v>277</v>
      </c>
      <c r="K27" s="78" t="s">
        <v>213</v>
      </c>
      <c r="L27" s="48">
        <v>8</v>
      </c>
      <c r="M27" s="48">
        <f t="shared" si="1"/>
        <v>40000</v>
      </c>
      <c r="N27" s="48"/>
      <c r="O27" s="103" t="s">
        <v>247</v>
      </c>
      <c r="P27" s="51"/>
      <c r="Q27" s="51">
        <f t="shared" si="2"/>
        <v>0</v>
      </c>
      <c r="R27" s="49"/>
      <c r="S27" s="51"/>
    </row>
    <row r="28" spans="1:19" s="106" customFormat="1" ht="15.75" thickBot="1" x14ac:dyDescent="0.3">
      <c r="A28" s="104"/>
      <c r="B28" s="37">
        <f>ROW(B28) - ROW($B$9)</f>
        <v>19</v>
      </c>
      <c r="C28" s="68" t="s">
        <v>7</v>
      </c>
      <c r="D28" s="45" t="s">
        <v>31</v>
      </c>
      <c r="E28" s="46" t="s">
        <v>77</v>
      </c>
      <c r="F28" s="45" t="s">
        <v>107</v>
      </c>
      <c r="G28" s="46" t="s">
        <v>154</v>
      </c>
      <c r="H28" s="45" t="s">
        <v>171</v>
      </c>
      <c r="I28" s="45"/>
      <c r="J28" s="45" t="s">
        <v>198</v>
      </c>
      <c r="K28" s="77" t="s">
        <v>213</v>
      </c>
      <c r="L28" s="81">
        <v>4</v>
      </c>
      <c r="M28" s="81">
        <f t="shared" si="1"/>
        <v>20000</v>
      </c>
      <c r="N28" s="45"/>
      <c r="O28" s="102" t="s">
        <v>247</v>
      </c>
      <c r="P28" s="50"/>
      <c r="Q28" s="50">
        <f t="shared" si="2"/>
        <v>0</v>
      </c>
      <c r="R28" s="46"/>
      <c r="S28" s="50"/>
    </row>
    <row r="29" spans="1:19" s="106" customFormat="1" ht="24.75" thickBot="1" x14ac:dyDescent="0.3">
      <c r="A29" s="104"/>
      <c r="B29" s="37">
        <f t="shared" si="0"/>
        <v>20</v>
      </c>
      <c r="C29" s="67" t="s">
        <v>225</v>
      </c>
      <c r="D29" s="48" t="s">
        <v>32</v>
      </c>
      <c r="E29" s="49" t="s">
        <v>78</v>
      </c>
      <c r="F29" s="48" t="s">
        <v>248</v>
      </c>
      <c r="G29" s="48" t="s">
        <v>113</v>
      </c>
      <c r="H29" s="48" t="s">
        <v>176</v>
      </c>
      <c r="I29" s="48"/>
      <c r="J29" s="49" t="s">
        <v>250</v>
      </c>
      <c r="K29" s="78" t="s">
        <v>249</v>
      </c>
      <c r="L29" s="48">
        <v>1</v>
      </c>
      <c r="M29" s="48">
        <f t="shared" si="1"/>
        <v>5000</v>
      </c>
      <c r="N29" s="48"/>
      <c r="O29" s="108" t="s">
        <v>247</v>
      </c>
      <c r="P29" s="84"/>
      <c r="Q29" s="51">
        <f t="shared" si="2"/>
        <v>0</v>
      </c>
      <c r="R29" s="49"/>
      <c r="S29" s="51"/>
    </row>
    <row r="30" spans="1:19" s="106" customFormat="1" ht="36.75" thickBot="1" x14ac:dyDescent="0.3">
      <c r="A30" s="104"/>
      <c r="B30" s="37">
        <f>ROW(B30) - ROW($B$9)</f>
        <v>21</v>
      </c>
      <c r="C30" s="68" t="s">
        <v>225</v>
      </c>
      <c r="D30" s="45" t="s">
        <v>33</v>
      </c>
      <c r="E30" s="46" t="s">
        <v>79</v>
      </c>
      <c r="F30" s="45" t="s">
        <v>114</v>
      </c>
      <c r="G30" s="46" t="s">
        <v>155</v>
      </c>
      <c r="H30" s="45" t="s">
        <v>177</v>
      </c>
      <c r="I30" s="45"/>
      <c r="J30" s="97" t="s">
        <v>251</v>
      </c>
      <c r="K30" s="77" t="s">
        <v>249</v>
      </c>
      <c r="L30" s="81">
        <v>1</v>
      </c>
      <c r="M30" s="81">
        <f t="shared" si="1"/>
        <v>5000</v>
      </c>
      <c r="N30" s="45"/>
      <c r="O30" s="107" t="s">
        <v>247</v>
      </c>
      <c r="P30" s="86"/>
      <c r="Q30" s="50">
        <f t="shared" si="2"/>
        <v>0</v>
      </c>
      <c r="R30" s="46"/>
      <c r="S30" s="50"/>
    </row>
    <row r="31" spans="1:19" s="106" customFormat="1" ht="15.75" thickBot="1" x14ac:dyDescent="0.3">
      <c r="A31" s="104"/>
      <c r="B31" s="37">
        <f t="shared" si="0"/>
        <v>22</v>
      </c>
      <c r="C31" s="67" t="s">
        <v>226</v>
      </c>
      <c r="D31" s="48" t="s">
        <v>34</v>
      </c>
      <c r="E31" s="49" t="s">
        <v>80</v>
      </c>
      <c r="F31" s="48" t="s">
        <v>115</v>
      </c>
      <c r="G31" s="89" t="s">
        <v>156</v>
      </c>
      <c r="H31" s="48" t="s">
        <v>178</v>
      </c>
      <c r="I31" s="48" t="s">
        <v>252</v>
      </c>
      <c r="J31" s="109" t="s">
        <v>253</v>
      </c>
      <c r="K31" s="78" t="s">
        <v>249</v>
      </c>
      <c r="L31" s="48">
        <v>1</v>
      </c>
      <c r="M31" s="48">
        <f t="shared" si="1"/>
        <v>5000</v>
      </c>
      <c r="N31" s="48"/>
      <c r="O31" s="103" t="s">
        <v>247</v>
      </c>
      <c r="P31" s="51"/>
      <c r="Q31" s="51">
        <f t="shared" si="2"/>
        <v>0</v>
      </c>
      <c r="R31" s="49"/>
      <c r="S31" s="51"/>
    </row>
    <row r="32" spans="1:19" s="106" customFormat="1" ht="36.75" thickBot="1" x14ac:dyDescent="0.3">
      <c r="A32" s="104"/>
      <c r="B32" s="37">
        <f>ROW(B32) - ROW($B$9)</f>
        <v>23</v>
      </c>
      <c r="C32" s="68" t="s">
        <v>8</v>
      </c>
      <c r="D32" s="45" t="s">
        <v>35</v>
      </c>
      <c r="E32" s="46" t="s">
        <v>81</v>
      </c>
      <c r="F32" s="45" t="s">
        <v>254</v>
      </c>
      <c r="G32" s="46" t="s">
        <v>116</v>
      </c>
      <c r="H32" s="45" t="s">
        <v>179</v>
      </c>
      <c r="I32" s="45"/>
      <c r="J32" s="45" t="s">
        <v>199</v>
      </c>
      <c r="K32" s="77" t="s">
        <v>249</v>
      </c>
      <c r="L32" s="81">
        <v>1</v>
      </c>
      <c r="M32" s="81">
        <f t="shared" si="1"/>
        <v>5000</v>
      </c>
      <c r="N32" s="45"/>
      <c r="O32" s="110" t="s">
        <v>247</v>
      </c>
      <c r="P32" s="86"/>
      <c r="Q32" s="50">
        <f t="shared" si="2"/>
        <v>0</v>
      </c>
      <c r="R32" s="46"/>
      <c r="S32" s="50"/>
    </row>
    <row r="33" spans="1:19" s="106" customFormat="1" ht="30.75" thickBot="1" x14ac:dyDescent="0.3">
      <c r="A33" s="104"/>
      <c r="B33" s="37">
        <f t="shared" si="0"/>
        <v>24</v>
      </c>
      <c r="C33" s="67" t="s">
        <v>9</v>
      </c>
      <c r="D33" s="48" t="s">
        <v>36</v>
      </c>
      <c r="E33" s="49" t="s">
        <v>82</v>
      </c>
      <c r="F33" s="48" t="s">
        <v>254</v>
      </c>
      <c r="G33" s="49" t="s">
        <v>117</v>
      </c>
      <c r="H33" s="48" t="s">
        <v>180</v>
      </c>
      <c r="I33" s="48"/>
      <c r="J33" s="48"/>
      <c r="K33" s="78" t="s">
        <v>249</v>
      </c>
      <c r="L33" s="48">
        <v>8</v>
      </c>
      <c r="M33" s="48">
        <f t="shared" si="1"/>
        <v>40000</v>
      </c>
      <c r="N33" s="48"/>
      <c r="O33" s="111" t="s">
        <v>255</v>
      </c>
      <c r="P33" s="92"/>
      <c r="Q33" s="51">
        <f t="shared" si="2"/>
        <v>0</v>
      </c>
      <c r="R33" s="49"/>
      <c r="S33" s="51"/>
    </row>
    <row r="34" spans="1:19" s="106" customFormat="1" ht="15.75" thickBot="1" x14ac:dyDescent="0.3">
      <c r="A34" s="104"/>
      <c r="B34" s="37">
        <f>ROW(B34) - ROW($B$9)</f>
        <v>25</v>
      </c>
      <c r="C34" s="71" t="s">
        <v>9</v>
      </c>
      <c r="D34" s="45" t="s">
        <v>37</v>
      </c>
      <c r="E34" s="46" t="s">
        <v>83</v>
      </c>
      <c r="F34" s="45" t="s">
        <v>254</v>
      </c>
      <c r="G34" s="46" t="s">
        <v>118</v>
      </c>
      <c r="H34" s="45" t="s">
        <v>180</v>
      </c>
      <c r="I34" s="45"/>
      <c r="J34" s="45"/>
      <c r="K34" s="77" t="s">
        <v>249</v>
      </c>
      <c r="L34" s="81">
        <v>4</v>
      </c>
      <c r="M34" s="81">
        <f t="shared" si="1"/>
        <v>20000</v>
      </c>
      <c r="N34" s="45"/>
      <c r="O34" s="45"/>
      <c r="P34" s="50"/>
      <c r="Q34" s="50">
        <f t="shared" si="2"/>
        <v>0</v>
      </c>
      <c r="R34" s="46"/>
      <c r="S34" s="50"/>
    </row>
    <row r="35" spans="1:19" s="106" customFormat="1" ht="24.75" thickBot="1" x14ac:dyDescent="0.3">
      <c r="A35" s="104"/>
      <c r="B35" s="37">
        <f t="shared" si="0"/>
        <v>26</v>
      </c>
      <c r="C35" s="67" t="s">
        <v>226</v>
      </c>
      <c r="D35" s="48" t="s">
        <v>38</v>
      </c>
      <c r="E35" s="49" t="s">
        <v>84</v>
      </c>
      <c r="F35" s="48" t="s">
        <v>119</v>
      </c>
      <c r="G35" s="89">
        <v>61300611121</v>
      </c>
      <c r="H35" s="48" t="s">
        <v>181</v>
      </c>
      <c r="I35" s="48" t="s">
        <v>256</v>
      </c>
      <c r="J35" s="98" t="s">
        <v>256</v>
      </c>
      <c r="K35" s="78" t="s">
        <v>249</v>
      </c>
      <c r="L35" s="48">
        <v>1</v>
      </c>
      <c r="M35" s="48">
        <f t="shared" si="1"/>
        <v>5000</v>
      </c>
      <c r="N35" s="48"/>
      <c r="O35" s="111" t="s">
        <v>247</v>
      </c>
      <c r="P35" s="84"/>
      <c r="Q35" s="51">
        <f t="shared" si="2"/>
        <v>0</v>
      </c>
      <c r="R35" s="49"/>
      <c r="S35" s="51"/>
    </row>
    <row r="36" spans="1:19" s="106" customFormat="1" ht="15.75" thickBot="1" x14ac:dyDescent="0.3">
      <c r="A36" s="104"/>
      <c r="B36" s="37">
        <f>ROW(B36) - ROW($B$9)</f>
        <v>27</v>
      </c>
      <c r="C36" s="71" t="s">
        <v>227</v>
      </c>
      <c r="D36" s="45" t="s">
        <v>39</v>
      </c>
      <c r="E36" s="46" t="s">
        <v>85</v>
      </c>
      <c r="F36" s="45" t="s">
        <v>254</v>
      </c>
      <c r="G36" s="45" t="s">
        <v>120</v>
      </c>
      <c r="H36" s="45" t="s">
        <v>249</v>
      </c>
      <c r="I36" s="45" t="s">
        <v>249</v>
      </c>
      <c r="J36" s="45" t="s">
        <v>249</v>
      </c>
      <c r="K36" s="77" t="s">
        <v>249</v>
      </c>
      <c r="L36" s="81">
        <v>5</v>
      </c>
      <c r="M36" s="81">
        <f t="shared" si="1"/>
        <v>25000</v>
      </c>
      <c r="N36" s="45"/>
      <c r="O36" s="45" t="s">
        <v>249</v>
      </c>
      <c r="P36" s="50"/>
      <c r="Q36" s="50" t="s">
        <v>249</v>
      </c>
      <c r="R36" s="46"/>
      <c r="S36" s="50"/>
    </row>
    <row r="37" spans="1:19" s="106" customFormat="1" ht="26.25" thickBot="1" x14ac:dyDescent="0.3">
      <c r="A37" s="104"/>
      <c r="B37" s="37">
        <f t="shared" si="0"/>
        <v>28</v>
      </c>
      <c r="C37" s="67" t="s">
        <v>228</v>
      </c>
      <c r="D37" s="48" t="s">
        <v>40</v>
      </c>
      <c r="E37" s="49" t="s">
        <v>86</v>
      </c>
      <c r="F37" s="48" t="s">
        <v>121</v>
      </c>
      <c r="G37" s="89" t="s">
        <v>157</v>
      </c>
      <c r="H37" s="49" t="s">
        <v>178</v>
      </c>
      <c r="I37" s="112" t="s">
        <v>263</v>
      </c>
      <c r="J37" s="98" t="s">
        <v>264</v>
      </c>
      <c r="K37" s="78" t="s">
        <v>217</v>
      </c>
      <c r="L37" s="48">
        <v>3</v>
      </c>
      <c r="M37" s="48">
        <f t="shared" si="1"/>
        <v>15000</v>
      </c>
      <c r="N37" s="48"/>
      <c r="O37" s="111" t="s">
        <v>247</v>
      </c>
      <c r="P37" s="84"/>
      <c r="Q37" s="51">
        <f t="shared" si="2"/>
        <v>0</v>
      </c>
      <c r="R37" s="49"/>
      <c r="S37" s="51"/>
    </row>
    <row r="38" spans="1:19" s="106" customFormat="1" ht="15.75" thickBot="1" x14ac:dyDescent="0.3">
      <c r="A38" s="104"/>
      <c r="B38" s="37">
        <f>ROW(B38) - ROW($B$9)</f>
        <v>29</v>
      </c>
      <c r="C38" s="68" t="s">
        <v>228</v>
      </c>
      <c r="D38" s="45" t="s">
        <v>41</v>
      </c>
      <c r="E38" s="46" t="s">
        <v>87</v>
      </c>
      <c r="F38" s="45" t="s">
        <v>122</v>
      </c>
      <c r="G38" s="46" t="s">
        <v>158</v>
      </c>
      <c r="H38" s="45" t="s">
        <v>171</v>
      </c>
      <c r="I38" s="45" t="s">
        <v>249</v>
      </c>
      <c r="J38" s="45" t="s">
        <v>278</v>
      </c>
      <c r="K38" s="77" t="s">
        <v>218</v>
      </c>
      <c r="L38" s="81">
        <v>8</v>
      </c>
      <c r="M38" s="81">
        <f t="shared" si="1"/>
        <v>40000</v>
      </c>
      <c r="N38" s="45"/>
      <c r="O38" s="102" t="s">
        <v>247</v>
      </c>
      <c r="P38" s="50"/>
      <c r="Q38" s="50">
        <f t="shared" si="2"/>
        <v>0</v>
      </c>
      <c r="R38" s="46"/>
      <c r="S38" s="50"/>
    </row>
    <row r="39" spans="1:19" s="106" customFormat="1" ht="15.75" thickBot="1" x14ac:dyDescent="0.3">
      <c r="A39" s="104"/>
      <c r="B39" s="37">
        <f t="shared" si="0"/>
        <v>30</v>
      </c>
      <c r="C39" s="67" t="s">
        <v>228</v>
      </c>
      <c r="D39" s="48" t="s">
        <v>42</v>
      </c>
      <c r="E39" s="49" t="s">
        <v>88</v>
      </c>
      <c r="F39" s="48" t="s">
        <v>121</v>
      </c>
      <c r="G39" s="49" t="s">
        <v>159</v>
      </c>
      <c r="H39" s="48" t="s">
        <v>171</v>
      </c>
      <c r="I39" s="48" t="s">
        <v>249</v>
      </c>
      <c r="J39" s="98" t="s">
        <v>268</v>
      </c>
      <c r="K39" s="78" t="s">
        <v>219</v>
      </c>
      <c r="L39" s="48">
        <v>3</v>
      </c>
      <c r="M39" s="48">
        <f t="shared" si="1"/>
        <v>15000</v>
      </c>
      <c r="N39" s="48"/>
      <c r="O39" s="103" t="s">
        <v>247</v>
      </c>
      <c r="P39" s="51"/>
      <c r="Q39" s="51">
        <f t="shared" si="2"/>
        <v>0</v>
      </c>
      <c r="R39" s="49"/>
      <c r="S39" s="51"/>
    </row>
    <row r="40" spans="1:19" s="106" customFormat="1" ht="24.75" thickBot="1" x14ac:dyDescent="0.3">
      <c r="A40" s="104"/>
      <c r="B40" s="37">
        <f>ROW(B40) - ROW($B$9)</f>
        <v>31</v>
      </c>
      <c r="C40" s="68" t="s">
        <v>228</v>
      </c>
      <c r="D40" s="45" t="s">
        <v>43</v>
      </c>
      <c r="E40" s="46" t="s">
        <v>89</v>
      </c>
      <c r="F40" s="45" t="s">
        <v>122</v>
      </c>
      <c r="G40" s="46" t="s">
        <v>160</v>
      </c>
      <c r="H40" s="45" t="s">
        <v>171</v>
      </c>
      <c r="I40" s="45" t="s">
        <v>249</v>
      </c>
      <c r="J40" s="45" t="s">
        <v>200</v>
      </c>
      <c r="K40" s="77" t="s">
        <v>220</v>
      </c>
      <c r="L40" s="81">
        <v>10</v>
      </c>
      <c r="M40" s="81">
        <f t="shared" si="1"/>
        <v>50000</v>
      </c>
      <c r="N40" s="45"/>
      <c r="O40" s="102" t="s">
        <v>247</v>
      </c>
      <c r="P40" s="50"/>
      <c r="Q40" s="50">
        <f t="shared" si="2"/>
        <v>0</v>
      </c>
      <c r="R40" s="46"/>
      <c r="S40" s="50"/>
    </row>
    <row r="41" spans="1:19" s="106" customFormat="1" ht="15.75" thickBot="1" x14ac:dyDescent="0.3">
      <c r="A41" s="104"/>
      <c r="B41" s="37">
        <f t="shared" si="0"/>
        <v>32</v>
      </c>
      <c r="C41" s="67" t="s">
        <v>228</v>
      </c>
      <c r="D41" s="48" t="s">
        <v>44</v>
      </c>
      <c r="E41" s="49" t="s">
        <v>90</v>
      </c>
      <c r="F41" s="48" t="s">
        <v>121</v>
      </c>
      <c r="G41" s="49" t="s">
        <v>161</v>
      </c>
      <c r="H41" s="48" t="s">
        <v>171</v>
      </c>
      <c r="I41" s="48"/>
      <c r="J41" s="98" t="s">
        <v>269</v>
      </c>
      <c r="K41" s="78" t="s">
        <v>221</v>
      </c>
      <c r="L41" s="48">
        <v>2</v>
      </c>
      <c r="M41" s="48">
        <f t="shared" si="1"/>
        <v>10000</v>
      </c>
      <c r="N41" s="48"/>
      <c r="O41" s="103" t="s">
        <v>247</v>
      </c>
      <c r="P41" s="84"/>
      <c r="Q41" s="51">
        <f t="shared" si="2"/>
        <v>0</v>
      </c>
      <c r="R41" s="49"/>
      <c r="S41" s="51"/>
    </row>
    <row r="42" spans="1:19" s="106" customFormat="1" ht="24.75" thickBot="1" x14ac:dyDescent="0.3">
      <c r="A42" s="104"/>
      <c r="B42" s="37">
        <f>ROW(B42) - ROW($B$9)</f>
        <v>33</v>
      </c>
      <c r="C42" s="68" t="s">
        <v>228</v>
      </c>
      <c r="D42" s="45" t="s">
        <v>45</v>
      </c>
      <c r="E42" s="46" t="s">
        <v>91</v>
      </c>
      <c r="F42" s="45" t="s">
        <v>123</v>
      </c>
      <c r="G42" s="46" t="s">
        <v>162</v>
      </c>
      <c r="H42" s="45" t="s">
        <v>171</v>
      </c>
      <c r="I42" s="45" t="s">
        <v>249</v>
      </c>
      <c r="J42" s="45" t="s">
        <v>201</v>
      </c>
      <c r="K42" s="77" t="s">
        <v>222</v>
      </c>
      <c r="L42" s="81">
        <v>16</v>
      </c>
      <c r="M42" s="81">
        <f t="shared" si="1"/>
        <v>80000</v>
      </c>
      <c r="N42" s="45"/>
      <c r="O42" s="102" t="s">
        <v>247</v>
      </c>
      <c r="P42" s="50"/>
      <c r="Q42" s="50">
        <f t="shared" si="2"/>
        <v>0</v>
      </c>
      <c r="R42" s="46"/>
      <c r="S42" s="50"/>
    </row>
    <row r="43" spans="1:19" s="106" customFormat="1" ht="15.75" thickBot="1" x14ac:dyDescent="0.3">
      <c r="A43" s="104"/>
      <c r="B43" s="37">
        <f t="shared" si="0"/>
        <v>34</v>
      </c>
      <c r="C43" s="67" t="s">
        <v>228</v>
      </c>
      <c r="D43" s="48" t="s">
        <v>46</v>
      </c>
      <c r="E43" s="49" t="s">
        <v>92</v>
      </c>
      <c r="F43" s="48" t="s">
        <v>121</v>
      </c>
      <c r="G43" s="49" t="s">
        <v>163</v>
      </c>
      <c r="H43" s="48" t="s">
        <v>171</v>
      </c>
      <c r="I43" s="48" t="s">
        <v>249</v>
      </c>
      <c r="J43" s="98" t="s">
        <v>267</v>
      </c>
      <c r="K43" s="78" t="s">
        <v>222</v>
      </c>
      <c r="L43" s="48">
        <v>1</v>
      </c>
      <c r="M43" s="48">
        <f t="shared" si="1"/>
        <v>5000</v>
      </c>
      <c r="N43" s="48"/>
      <c r="O43" s="111" t="s">
        <v>247</v>
      </c>
      <c r="P43" s="84"/>
      <c r="Q43" s="51">
        <f t="shared" si="2"/>
        <v>0</v>
      </c>
      <c r="R43" s="49"/>
      <c r="S43" s="51"/>
    </row>
    <row r="44" spans="1:19" s="106" customFormat="1" ht="15.75" thickBot="1" x14ac:dyDescent="0.3">
      <c r="A44" s="104"/>
      <c r="B44" s="37">
        <f>ROW(B44) - ROW($B$9)</f>
        <v>35</v>
      </c>
      <c r="C44" s="68" t="s">
        <v>228</v>
      </c>
      <c r="D44" s="45" t="s">
        <v>47</v>
      </c>
      <c r="E44" s="46" t="s">
        <v>93</v>
      </c>
      <c r="F44" s="45" t="s">
        <v>122</v>
      </c>
      <c r="G44" s="46" t="s">
        <v>164</v>
      </c>
      <c r="H44" s="45" t="s">
        <v>171</v>
      </c>
      <c r="I44" s="45" t="s">
        <v>249</v>
      </c>
      <c r="J44" s="45" t="s">
        <v>279</v>
      </c>
      <c r="K44" s="77" t="s">
        <v>223</v>
      </c>
      <c r="L44" s="81">
        <v>4</v>
      </c>
      <c r="M44" s="81">
        <f t="shared" si="1"/>
        <v>20000</v>
      </c>
      <c r="N44" s="45"/>
      <c r="O44" s="102" t="s">
        <v>247</v>
      </c>
      <c r="P44" s="50"/>
      <c r="Q44" s="50">
        <f t="shared" si="2"/>
        <v>0</v>
      </c>
      <c r="R44" s="46"/>
      <c r="S44" s="50"/>
    </row>
    <row r="45" spans="1:19" s="106" customFormat="1" ht="216.75" thickBot="1" x14ac:dyDescent="0.3">
      <c r="A45" s="104"/>
      <c r="B45" s="37">
        <f t="shared" si="0"/>
        <v>36</v>
      </c>
      <c r="C45" s="67" t="s">
        <v>229</v>
      </c>
      <c r="D45" s="48" t="s">
        <v>48</v>
      </c>
      <c r="E45" s="49" t="s">
        <v>94</v>
      </c>
      <c r="F45" s="48" t="s">
        <v>254</v>
      </c>
      <c r="G45" s="48" t="s">
        <v>124</v>
      </c>
      <c r="H45" s="48" t="s">
        <v>249</v>
      </c>
      <c r="I45" s="48" t="s">
        <v>249</v>
      </c>
      <c r="J45" s="48" t="s">
        <v>249</v>
      </c>
      <c r="K45" s="78" t="s">
        <v>249</v>
      </c>
      <c r="L45" s="48">
        <v>106</v>
      </c>
      <c r="M45" s="48">
        <f t="shared" si="1"/>
        <v>530000</v>
      </c>
      <c r="N45" s="48"/>
      <c r="O45" s="48" t="s">
        <v>249</v>
      </c>
      <c r="P45" s="51"/>
      <c r="Q45" s="51" t="s">
        <v>249</v>
      </c>
      <c r="R45" s="49"/>
      <c r="S45" s="51"/>
    </row>
    <row r="46" spans="1:19" s="106" customFormat="1" ht="36.75" thickBot="1" x14ac:dyDescent="0.3">
      <c r="A46" s="104"/>
      <c r="B46" s="37">
        <f>ROW(B46) - ROW($B$9)</f>
        <v>37</v>
      </c>
      <c r="C46" s="68" t="s">
        <v>230</v>
      </c>
      <c r="D46" s="45" t="s">
        <v>49</v>
      </c>
      <c r="E46" s="46" t="s">
        <v>95</v>
      </c>
      <c r="F46" s="45" t="s">
        <v>254</v>
      </c>
      <c r="G46" s="45" t="s">
        <v>125</v>
      </c>
      <c r="H46" s="45" t="s">
        <v>179</v>
      </c>
      <c r="I46" s="45"/>
      <c r="J46" s="97"/>
      <c r="K46" s="77"/>
      <c r="L46" s="81">
        <v>1</v>
      </c>
      <c r="M46" s="81">
        <f t="shared" si="1"/>
        <v>5000</v>
      </c>
      <c r="N46" s="45"/>
      <c r="O46" s="113"/>
      <c r="P46" s="86"/>
      <c r="Q46" s="50">
        <f t="shared" si="2"/>
        <v>0</v>
      </c>
      <c r="R46" s="46"/>
      <c r="S46" s="50"/>
    </row>
    <row r="47" spans="1:19" s="106" customFormat="1" ht="24.75" thickBot="1" x14ac:dyDescent="0.3">
      <c r="A47" s="104"/>
      <c r="B47" s="37">
        <f t="shared" si="0"/>
        <v>38</v>
      </c>
      <c r="C47" s="67" t="s">
        <v>10</v>
      </c>
      <c r="D47" s="48" t="s">
        <v>50</v>
      </c>
      <c r="E47" s="49" t="s">
        <v>96</v>
      </c>
      <c r="F47" s="48" t="s">
        <v>254</v>
      </c>
      <c r="G47" s="49" t="s">
        <v>126</v>
      </c>
      <c r="H47" s="48" t="s">
        <v>182</v>
      </c>
      <c r="I47" s="48" t="s">
        <v>249</v>
      </c>
      <c r="J47" s="48" t="s">
        <v>202</v>
      </c>
      <c r="K47" s="78" t="s">
        <v>249</v>
      </c>
      <c r="L47" s="48">
        <v>1</v>
      </c>
      <c r="M47" s="48">
        <f t="shared" si="1"/>
        <v>5000</v>
      </c>
      <c r="N47" s="48"/>
      <c r="O47" s="108" t="s">
        <v>247</v>
      </c>
      <c r="P47" s="84"/>
      <c r="Q47" s="51">
        <f t="shared" si="2"/>
        <v>0</v>
      </c>
      <c r="R47" s="49"/>
      <c r="S47" s="51"/>
    </row>
    <row r="48" spans="1:19" s="106" customFormat="1" ht="24.75" thickBot="1" x14ac:dyDescent="0.3">
      <c r="A48" s="104"/>
      <c r="B48" s="37">
        <f>ROW(B48) - ROW($B$9)</f>
        <v>39</v>
      </c>
      <c r="C48" s="68" t="s">
        <v>11</v>
      </c>
      <c r="D48" s="45" t="s">
        <v>51</v>
      </c>
      <c r="E48" s="46" t="s">
        <v>97</v>
      </c>
      <c r="F48" s="45" t="s">
        <v>127</v>
      </c>
      <c r="G48" s="46" t="s">
        <v>165</v>
      </c>
      <c r="H48" s="45" t="s">
        <v>177</v>
      </c>
      <c r="I48" s="45"/>
      <c r="J48" s="45" t="s">
        <v>203</v>
      </c>
      <c r="K48" s="77" t="s">
        <v>249</v>
      </c>
      <c r="L48" s="81">
        <v>8</v>
      </c>
      <c r="M48" s="81">
        <f t="shared" si="1"/>
        <v>40000</v>
      </c>
      <c r="N48" s="45"/>
      <c r="O48" s="102" t="s">
        <v>247</v>
      </c>
      <c r="P48" s="50"/>
      <c r="Q48" s="50">
        <f t="shared" si="2"/>
        <v>0</v>
      </c>
      <c r="R48" s="46"/>
      <c r="S48" s="50"/>
    </row>
    <row r="49" spans="1:19" s="106" customFormat="1" ht="36.75" thickBot="1" x14ac:dyDescent="0.3">
      <c r="A49" s="104"/>
      <c r="B49" s="37">
        <f t="shared" si="0"/>
        <v>40</v>
      </c>
      <c r="C49" s="67" t="s">
        <v>11</v>
      </c>
      <c r="D49" s="48" t="s">
        <v>52</v>
      </c>
      <c r="E49" s="49" t="s">
        <v>98</v>
      </c>
      <c r="F49" s="48" t="s">
        <v>128</v>
      </c>
      <c r="G49" s="49" t="s">
        <v>166</v>
      </c>
      <c r="H49" s="48" t="s">
        <v>183</v>
      </c>
      <c r="I49" s="48" t="s">
        <v>249</v>
      </c>
      <c r="J49" s="48" t="s">
        <v>280</v>
      </c>
      <c r="K49" s="78" t="s">
        <v>249</v>
      </c>
      <c r="L49" s="48">
        <v>1</v>
      </c>
      <c r="M49" s="48">
        <f t="shared" si="1"/>
        <v>5000</v>
      </c>
      <c r="N49" s="48"/>
      <c r="O49" s="103" t="s">
        <v>247</v>
      </c>
      <c r="P49" s="51"/>
      <c r="Q49" s="51">
        <f t="shared" si="2"/>
        <v>0</v>
      </c>
      <c r="R49" s="49"/>
      <c r="S49" s="51"/>
    </row>
    <row r="50" spans="1:19" s="106" customFormat="1" ht="30.75" thickBot="1" x14ac:dyDescent="0.3">
      <c r="A50" s="104"/>
      <c r="B50" s="37">
        <f>ROW(B50) - ROW($B$9)</f>
        <v>41</v>
      </c>
      <c r="C50" s="68" t="s">
        <v>11</v>
      </c>
      <c r="D50" s="45" t="s">
        <v>53</v>
      </c>
      <c r="E50" s="46" t="s">
        <v>99</v>
      </c>
      <c r="F50" s="45" t="s">
        <v>129</v>
      </c>
      <c r="G50" s="46" t="s">
        <v>167</v>
      </c>
      <c r="H50" s="45" t="s">
        <v>177</v>
      </c>
      <c r="I50" s="45"/>
      <c r="J50" s="45"/>
      <c r="K50" s="77"/>
      <c r="L50" s="81">
        <v>1</v>
      </c>
      <c r="M50" s="81">
        <f t="shared" si="1"/>
        <v>5000</v>
      </c>
      <c r="N50" s="45"/>
      <c r="O50" s="107" t="s">
        <v>255</v>
      </c>
      <c r="P50" s="95"/>
      <c r="Q50" s="50">
        <f t="shared" si="2"/>
        <v>0</v>
      </c>
      <c r="R50" s="46"/>
      <c r="S50" s="50"/>
    </row>
    <row r="51" spans="1:19" s="106" customFormat="1" ht="24.75" thickBot="1" x14ac:dyDescent="0.3">
      <c r="A51" s="104"/>
      <c r="B51" s="37">
        <f t="shared" si="0"/>
        <v>42</v>
      </c>
      <c r="C51" s="67" t="s">
        <v>11</v>
      </c>
      <c r="D51" s="48" t="s">
        <v>54</v>
      </c>
      <c r="E51" s="49" t="s">
        <v>100</v>
      </c>
      <c r="F51" s="48" t="s">
        <v>265</v>
      </c>
      <c r="G51" s="49" t="s">
        <v>130</v>
      </c>
      <c r="H51" s="48" t="s">
        <v>177</v>
      </c>
      <c r="I51" s="48" t="s">
        <v>249</v>
      </c>
      <c r="J51" s="98" t="s">
        <v>257</v>
      </c>
      <c r="K51" s="78"/>
      <c r="L51" s="48">
        <v>2</v>
      </c>
      <c r="M51" s="48">
        <f t="shared" si="1"/>
        <v>10000</v>
      </c>
      <c r="N51" s="48"/>
      <c r="O51" s="111" t="s">
        <v>247</v>
      </c>
      <c r="P51" s="84"/>
      <c r="Q51" s="51">
        <f t="shared" si="2"/>
        <v>0</v>
      </c>
      <c r="R51" s="49"/>
      <c r="S51" s="51"/>
    </row>
    <row r="52" spans="1:19" s="106" customFormat="1" ht="36.75" thickBot="1" x14ac:dyDescent="0.3">
      <c r="A52" s="104"/>
      <c r="B52" s="37">
        <f>ROW(B52) - ROW($B$9)</f>
        <v>43</v>
      </c>
      <c r="C52" s="68" t="s">
        <v>11</v>
      </c>
      <c r="D52" s="45" t="s">
        <v>55</v>
      </c>
      <c r="E52" s="46" t="s">
        <v>101</v>
      </c>
      <c r="F52" s="45" t="s">
        <v>266</v>
      </c>
      <c r="G52" s="45" t="s">
        <v>131</v>
      </c>
      <c r="H52" s="45" t="s">
        <v>184</v>
      </c>
      <c r="I52" s="45" t="s">
        <v>249</v>
      </c>
      <c r="J52" s="114" t="s">
        <v>258</v>
      </c>
      <c r="K52" s="77"/>
      <c r="L52" s="81">
        <v>1</v>
      </c>
      <c r="M52" s="81">
        <f t="shared" si="1"/>
        <v>5000</v>
      </c>
      <c r="N52" s="45"/>
      <c r="O52" s="107" t="s">
        <v>247</v>
      </c>
      <c r="P52" s="86"/>
      <c r="Q52" s="50">
        <f t="shared" si="2"/>
        <v>0</v>
      </c>
      <c r="R52" s="46"/>
      <c r="S52" s="50"/>
    </row>
    <row r="53" spans="1:19" s="106" customFormat="1" ht="24.75" thickBot="1" x14ac:dyDescent="0.3">
      <c r="A53" s="104"/>
      <c r="B53" s="37">
        <f t="shared" si="0"/>
        <v>44</v>
      </c>
      <c r="C53" s="67" t="s">
        <v>11</v>
      </c>
      <c r="D53" s="48" t="s">
        <v>56</v>
      </c>
      <c r="E53" s="49" t="s">
        <v>102</v>
      </c>
      <c r="F53" s="48" t="s">
        <v>132</v>
      </c>
      <c r="G53" s="49" t="s">
        <v>168</v>
      </c>
      <c r="H53" s="48" t="s">
        <v>177</v>
      </c>
      <c r="I53" s="48"/>
      <c r="J53" s="48"/>
      <c r="K53" s="78"/>
      <c r="L53" s="48">
        <v>1</v>
      </c>
      <c r="M53" s="48">
        <f t="shared" si="1"/>
        <v>5000</v>
      </c>
      <c r="N53" s="48"/>
      <c r="O53" s="48"/>
      <c r="P53" s="51"/>
      <c r="Q53" s="51">
        <f t="shared" si="2"/>
        <v>0</v>
      </c>
      <c r="R53" s="49"/>
      <c r="S53" s="51"/>
    </row>
    <row r="54" spans="1:19" s="106" customFormat="1" ht="15.75" thickBot="1" x14ac:dyDescent="0.3">
      <c r="A54" s="104"/>
      <c r="B54" s="37">
        <f>ROW(B54) - ROW($B$9)</f>
        <v>45</v>
      </c>
      <c r="C54" s="68" t="s">
        <v>11</v>
      </c>
      <c r="D54" s="45" t="s">
        <v>57</v>
      </c>
      <c r="E54" s="46" t="s">
        <v>103</v>
      </c>
      <c r="F54" s="45" t="s">
        <v>133</v>
      </c>
      <c r="G54" s="46" t="s">
        <v>169</v>
      </c>
      <c r="H54" s="45" t="s">
        <v>185</v>
      </c>
      <c r="I54" s="45"/>
      <c r="J54" s="45"/>
      <c r="K54" s="77"/>
      <c r="L54" s="81">
        <v>4</v>
      </c>
      <c r="M54" s="81">
        <f t="shared" si="1"/>
        <v>20000</v>
      </c>
      <c r="N54" s="45"/>
      <c r="O54" s="45"/>
      <c r="P54" s="50"/>
      <c r="Q54" s="50">
        <f t="shared" si="2"/>
        <v>0</v>
      </c>
      <c r="R54" s="46"/>
      <c r="S54" s="50"/>
    </row>
    <row r="55" spans="1:19" s="106" customFormat="1" ht="48.75" thickBot="1" x14ac:dyDescent="0.3">
      <c r="A55" s="104"/>
      <c r="B55" s="37">
        <f t="shared" si="0"/>
        <v>46</v>
      </c>
      <c r="C55" s="67" t="s">
        <v>231</v>
      </c>
      <c r="D55" s="48" t="s">
        <v>58</v>
      </c>
      <c r="E55" s="49" t="s">
        <v>104</v>
      </c>
      <c r="F55" s="48" t="s">
        <v>254</v>
      </c>
      <c r="G55" s="48" t="s">
        <v>134</v>
      </c>
      <c r="H55" s="48" t="s">
        <v>186</v>
      </c>
      <c r="I55" s="48"/>
      <c r="J55" s="98" t="s">
        <v>259</v>
      </c>
      <c r="K55" s="48" t="s">
        <v>260</v>
      </c>
      <c r="L55" s="48">
        <v>1</v>
      </c>
      <c r="M55" s="48">
        <f t="shared" si="1"/>
        <v>5000</v>
      </c>
      <c r="N55" s="48"/>
      <c r="O55" s="103" t="s">
        <v>247</v>
      </c>
      <c r="P55" s="51"/>
      <c r="Q55" s="51">
        <f t="shared" si="2"/>
        <v>0</v>
      </c>
      <c r="R55" s="49"/>
      <c r="S55" s="51"/>
    </row>
    <row r="56" spans="1:19" s="106" customFormat="1" ht="36.75" thickBot="1" x14ac:dyDescent="0.3">
      <c r="A56" s="104"/>
      <c r="B56" s="37">
        <f>ROW(B56) - ROW($B$9)</f>
        <v>47</v>
      </c>
      <c r="C56" s="71" t="s">
        <v>231</v>
      </c>
      <c r="D56" s="45" t="s">
        <v>59</v>
      </c>
      <c r="E56" s="46" t="s">
        <v>105</v>
      </c>
      <c r="F56" s="45" t="s">
        <v>254</v>
      </c>
      <c r="G56" s="46" t="s">
        <v>135</v>
      </c>
      <c r="H56" s="45" t="s">
        <v>187</v>
      </c>
      <c r="I56" s="45"/>
      <c r="J56" s="115" t="s">
        <v>261</v>
      </c>
      <c r="K56" s="82" t="s">
        <v>262</v>
      </c>
      <c r="L56" s="82">
        <v>2</v>
      </c>
      <c r="M56" s="81">
        <f t="shared" si="1"/>
        <v>10000</v>
      </c>
      <c r="N56" s="45"/>
      <c r="O56" s="102" t="s">
        <v>247</v>
      </c>
      <c r="P56" s="50"/>
      <c r="Q56" s="50">
        <f t="shared" si="2"/>
        <v>0</v>
      </c>
      <c r="R56" s="46"/>
      <c r="S56" s="50"/>
    </row>
    <row r="57" spans="1:19" ht="19.5" thickBot="1" x14ac:dyDescent="0.3">
      <c r="A57" s="1"/>
      <c r="B57" s="32"/>
      <c r="C57" s="43"/>
      <c r="D57" s="33"/>
      <c r="E57" s="34"/>
      <c r="F57" s="35"/>
      <c r="G57" s="36"/>
      <c r="H57" s="35"/>
      <c r="I57" s="36"/>
      <c r="J57" s="35"/>
      <c r="K57" s="36"/>
      <c r="L57" s="80"/>
      <c r="M57" s="36"/>
      <c r="N57" s="73" t="s">
        <v>241</v>
      </c>
      <c r="O57" s="74"/>
      <c r="P57" s="74"/>
      <c r="Q57" s="75">
        <f>SUM(Q10:Q56)</f>
        <v>0</v>
      </c>
      <c r="R57" s="62"/>
      <c r="S57" s="63"/>
    </row>
    <row r="58" spans="1:19" ht="19.5" thickBot="1" x14ac:dyDescent="0.3">
      <c r="A58" s="1"/>
      <c r="B58" s="25"/>
      <c r="C58" s="44"/>
      <c r="D58" s="9"/>
      <c r="E58" s="10"/>
      <c r="F58" s="10"/>
      <c r="G58" s="10"/>
      <c r="H58" s="10"/>
      <c r="I58" s="10"/>
      <c r="J58" s="10"/>
      <c r="K58" s="10"/>
      <c r="L58" s="10"/>
      <c r="M58" s="10"/>
      <c r="N58" s="73" t="s">
        <v>242</v>
      </c>
      <c r="O58" s="74"/>
      <c r="P58" s="74"/>
      <c r="Q58" s="76">
        <f>Q57/5000</f>
        <v>0</v>
      </c>
      <c r="R58" s="64"/>
      <c r="S58" s="65"/>
    </row>
  </sheetData>
  <mergeCells count="5">
    <mergeCell ref="K1:S1"/>
    <mergeCell ref="S3:S8"/>
    <mergeCell ref="N57:P57"/>
    <mergeCell ref="R57:S58"/>
    <mergeCell ref="N58:P58"/>
  </mergeCells>
  <conditionalFormatting sqref="O1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{D586FDC1-1914-44FD-90D4-FF96428F72EE}</x14:id>
        </ext>
      </extLst>
    </cfRule>
  </conditionalFormatting>
  <conditionalFormatting sqref="O1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{C7A7C5B3-B6FD-43F3-B12B-B159EEE4679C}</x14:id>
        </ext>
      </extLst>
    </cfRule>
  </conditionalFormatting>
  <conditionalFormatting sqref="O29:O3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{E6EBFD90-94D3-4D24-ADCC-E105541C80F1}</x14:id>
        </ext>
      </extLst>
    </cfRule>
  </conditionalFormatting>
  <conditionalFormatting sqref="O5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{C56866BE-EEA1-498E-95B2-DFC9ACC3F383}</x14:id>
        </ext>
      </extLst>
    </cfRule>
  </conditionalFormatting>
  <conditionalFormatting sqref="O5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{E3A384BA-639D-4785-877A-B5BE0E006DE5}</x14:id>
        </ext>
      </extLst>
    </cfRule>
  </conditionalFormatting>
  <conditionalFormatting sqref="O4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{DDE96396-9966-42A0-B833-5434BA4C8C60}</x14:id>
        </ext>
      </extLst>
    </cfRule>
  </conditionalFormatting>
  <hyperlinks>
    <hyperlink ref="O12" r:id="rId1" xr:uid="{C0F5AB00-3F41-4404-8874-CD834596E1AB}"/>
    <hyperlink ref="O14" r:id="rId2" xr:uid="{42823C50-DB69-4FBA-9E50-EB201971AC19}"/>
    <hyperlink ref="O29" r:id="rId3" xr:uid="{A27C862F-18F0-414E-AA8D-2898A66A92FE}"/>
    <hyperlink ref="O30" r:id="rId4" xr:uid="{6FBFD1C4-482C-455A-AFDA-16DD91F590C0}"/>
    <hyperlink ref="O32" r:id="rId5" xr:uid="{CF64CBB6-FC18-4CB1-87A0-4111CB47E3E1}"/>
    <hyperlink ref="O35" r:id="rId6" xr:uid="{158427D7-D8CA-43FE-AFFB-EF9BA9336FF0}"/>
    <hyperlink ref="O52" r:id="rId7" xr:uid="{2123C39D-B6A4-423C-8D06-96DE511B2D9F}"/>
    <hyperlink ref="O51" r:id="rId8" xr:uid="{56CEDD64-C5D3-4056-9F8A-E6CF4236300C}"/>
    <hyperlink ref="O37" r:id="rId9" xr:uid="{3EC30965-8FF2-4122-92ED-196F57D35EA1}"/>
    <hyperlink ref="O47" r:id="rId10" xr:uid="{3B76F126-BED8-49A5-BC78-80498B0544CD}"/>
    <hyperlink ref="O43" r:id="rId11" xr:uid="{29BC4FE5-1511-4E96-A04A-52707F143164}"/>
    <hyperlink ref="O41" r:id="rId12" xr:uid="{E09E614F-0B24-4621-95CC-32DE85E40D90}"/>
    <hyperlink ref="O10" r:id="rId13" xr:uid="{208A500A-9081-419F-B663-71CD087221C2}"/>
    <hyperlink ref="O11" r:id="rId14" xr:uid="{5BF1F7FB-0471-4A13-AC89-069731838E53}"/>
    <hyperlink ref="O13" r:id="rId15" xr:uid="{543D620F-3EE1-4528-975D-8CB633F3D1CB}"/>
    <hyperlink ref="O15" r:id="rId16" xr:uid="{D65C7829-BE60-4D16-A8AB-F01FF579D890}"/>
    <hyperlink ref="O17" r:id="rId17" xr:uid="{4875A485-86F0-4456-B0E3-7C5C50B17D17}"/>
    <hyperlink ref="O18" r:id="rId18" xr:uid="{7EDCE763-A401-4423-9EB2-33078F2479CE}"/>
    <hyperlink ref="O19" r:id="rId19" xr:uid="{B80A7953-E3B0-4E0E-86B0-68E443530F7A}"/>
    <hyperlink ref="O20" r:id="rId20" xr:uid="{E0CD8DFE-981E-4C9D-A923-58A2F6670800}"/>
    <hyperlink ref="O21" r:id="rId21" xr:uid="{1F54690A-9CE2-44E1-8FE9-941CC075BC23}"/>
    <hyperlink ref="O22" r:id="rId22" xr:uid="{D2911452-5BA8-43B1-9485-6EE713D719A2}"/>
    <hyperlink ref="O23" r:id="rId23" xr:uid="{28B25711-93E2-45E0-A758-CFF16C233C8B}"/>
    <hyperlink ref="O24" r:id="rId24" xr:uid="{0EFD71DA-625F-4C98-A6A9-B9F3B7B611C4}"/>
    <hyperlink ref="O26" r:id="rId25" xr:uid="{77F42CCE-7696-4AEE-947C-32D37A48B855}"/>
    <hyperlink ref="O27" r:id="rId26" xr:uid="{157C12A0-25FE-471B-8FCE-C31F56E78853}"/>
    <hyperlink ref="O28" r:id="rId27" xr:uid="{E6C2C84B-0A54-44FD-9823-94317B19A4EF}"/>
    <hyperlink ref="O31" r:id="rId28" xr:uid="{ACB6F6A4-0C21-4DBD-9962-B15DF1B7367E}"/>
    <hyperlink ref="O38" r:id="rId29" xr:uid="{FB317990-9A6D-468C-9FD1-D6CF2B2835D8}"/>
    <hyperlink ref="O39" r:id="rId30" xr:uid="{7FDD2B95-AAE1-4720-A377-0691A800B3EB}"/>
    <hyperlink ref="O40" r:id="rId31" xr:uid="{80B13D6B-62B5-4925-BF28-902E9C5DBB14}"/>
    <hyperlink ref="O42" r:id="rId32" xr:uid="{5DC89305-5A5D-4C98-8CDC-999B45CE207A}"/>
    <hyperlink ref="O44" r:id="rId33" xr:uid="{F0954EE6-EB24-40B5-951D-CDF505B8A795}"/>
    <hyperlink ref="O48" r:id="rId34" xr:uid="{A7778719-F7CB-44AA-9954-A83F8A78073C}"/>
    <hyperlink ref="O49" r:id="rId35" xr:uid="{49544DB8-79A0-4AD4-B110-6458441F3A9F}"/>
    <hyperlink ref="O55" r:id="rId36" xr:uid="{D770D024-E5D2-4683-97A4-B80BAC74C6DF}"/>
    <hyperlink ref="O56" r:id="rId37" xr:uid="{74D85B11-B2EF-42DB-A13B-8E5F2C7D65C5}"/>
  </hyperlinks>
  <pageMargins left="0.7" right="0.7" top="0.75" bottom="0.75" header="0.3" footer="0.3"/>
  <drawing r:id="rId3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86FDC1-1914-44FD-90D4-FF96428F7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C7A7C5B3-B6FD-43F3-B12B-B159EEE467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E6EBFD90-94D3-4D24-ADCC-E105541C80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O29:O30</xm:sqref>
        </x14:conditionalFormatting>
        <x14:conditionalFormatting xmlns:xm="http://schemas.microsoft.com/office/excel/2006/main">
          <x14:cfRule type="dataBar" id="{C56866BE-EEA1-498E-95B2-DFC9ACC3F3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O50</xm:sqref>
        </x14:conditionalFormatting>
        <x14:conditionalFormatting xmlns:xm="http://schemas.microsoft.com/office/excel/2006/main">
          <x14:cfRule type="dataBar" id="{E3A384BA-639D-4785-877A-B5BE0E006D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O52</xm:sqref>
        </x14:conditionalFormatting>
        <x14:conditionalFormatting xmlns:xm="http://schemas.microsoft.com/office/excel/2006/main">
          <x14:cfRule type="dataBar" id="{DDE96396-9966-42A0-B833-5434BA4C8C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 Boards </vt:lpstr>
      <vt:lpstr>1K Boards</vt:lpstr>
      <vt:lpstr>5K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2022-12-21T16:10:41Z</dcterms:modified>
</cp:coreProperties>
</file>