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Melih-SoundSensor\Deliverables\BOM\"/>
    </mc:Choice>
  </mc:AlternateContent>
  <xr:revisionPtr revIDLastSave="0" documentId="13_ncr:1_{7BCFF809-C5EF-4C85-917C-72CF641BD41D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20 Boards " sheetId="1" r:id="rId1"/>
    <sheet name="1K Boards" sheetId="2" r:id="rId2"/>
    <sheet name="5K Boar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3" l="1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10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10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41" i="1"/>
  <c r="Q51" i="3"/>
  <c r="B51" i="3"/>
  <c r="Q50" i="3"/>
  <c r="B50" i="3"/>
  <c r="Q49" i="3"/>
  <c r="B49" i="3"/>
  <c r="Q48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B24" i="3"/>
  <c r="B23" i="3"/>
  <c r="B22" i="3"/>
  <c r="B18" i="3"/>
  <c r="B21" i="3"/>
  <c r="B20" i="3"/>
  <c r="B19" i="3"/>
  <c r="B17" i="3"/>
  <c r="B16" i="3"/>
  <c r="B15" i="3"/>
  <c r="B14" i="3"/>
  <c r="B13" i="3"/>
  <c r="B12" i="3"/>
  <c r="B11" i="3"/>
  <c r="B10" i="3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11" i="1"/>
  <c r="Q13" i="1"/>
  <c r="Q14" i="1"/>
  <c r="Q15" i="1"/>
  <c r="Q16" i="1"/>
  <c r="Q17" i="1"/>
  <c r="Q19" i="1"/>
  <c r="Q12" i="1"/>
  <c r="Q20" i="1"/>
  <c r="Q21" i="1"/>
  <c r="Q18" i="1"/>
  <c r="Q22" i="1"/>
  <c r="Q23" i="1"/>
  <c r="Q24" i="1"/>
  <c r="Q25" i="1"/>
  <c r="Q26" i="1"/>
  <c r="Q27" i="1"/>
  <c r="Q28" i="1"/>
  <c r="Q29" i="1"/>
  <c r="Q30" i="1"/>
  <c r="Q31" i="1"/>
  <c r="Q33" i="1"/>
  <c r="Q34" i="1"/>
  <c r="Q35" i="1"/>
  <c r="Q36" i="1"/>
  <c r="Q37" i="1"/>
  <c r="Q38" i="1"/>
  <c r="Q39" i="1"/>
  <c r="Q42" i="1"/>
  <c r="Q43" i="1"/>
  <c r="Q44" i="1"/>
  <c r="Q45" i="1"/>
  <c r="Q46" i="1"/>
  <c r="Q47" i="1"/>
  <c r="Q48" i="1"/>
  <c r="Q49" i="1"/>
  <c r="Q50" i="1"/>
  <c r="Q51" i="1"/>
  <c r="Q10" i="1"/>
  <c r="M11" i="1"/>
  <c r="M13" i="1"/>
  <c r="M14" i="1"/>
  <c r="M15" i="1"/>
  <c r="M16" i="1"/>
  <c r="M17" i="1"/>
  <c r="M19" i="1"/>
  <c r="M12" i="1"/>
  <c r="M20" i="1"/>
  <c r="M21" i="1"/>
  <c r="M18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10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18" i="1"/>
  <c r="B21" i="1"/>
  <c r="B20" i="1"/>
  <c r="B12" i="1"/>
  <c r="B19" i="1"/>
  <c r="B17" i="1"/>
  <c r="B16" i="1"/>
  <c r="B15" i="1"/>
  <c r="B14" i="1"/>
  <c r="B13" i="1"/>
  <c r="B11" i="1"/>
  <c r="B10" i="1"/>
  <c r="Q52" i="1" l="1"/>
  <c r="Q53" i="1" s="1"/>
  <c r="Q52" i="2"/>
  <c r="Q53" i="2" s="1"/>
  <c r="Q52" i="3"/>
  <c r="Q53" i="3" s="1"/>
</calcChain>
</file>

<file path=xl/sharedStrings.xml><?xml version="1.0" encoding="utf-8"?>
<sst xmlns="http://schemas.openxmlformats.org/spreadsheetml/2006/main" count="1373" uniqueCount="283">
  <si>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</si>
  <si>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</si>
  <si>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</si>
  <si>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</si>
  <si>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</si>
  <si>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</si>
  <si>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</si>
  <si>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</si>
  <si>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USB Connector</t>
  </si>
  <si>
    <t>Microphone</t>
  </si>
  <si>
    <t>Module</t>
  </si>
  <si>
    <t>IC</t>
  </si>
  <si>
    <t>Designator</t>
  </si>
  <si>
    <t>C1, C23, C24, C25, C26, C28, C30, C32, C45, C46, C47, C48, C49, C50, C51, C52, C137, C138, C139, C140</t>
  </si>
  <si>
    <t>C2</t>
  </si>
  <si>
    <t>C4, C6, C8, C10, C12, C14, C16, C18, C37, C40, C83, C86</t>
  </si>
  <si>
    <t>C19, C21</t>
  </si>
  <si>
    <t>C36</t>
  </si>
  <si>
    <t>C43, C44, C61, C62, C73, C74</t>
  </si>
  <si>
    <t>C60, C63, C68, C69</t>
  </si>
  <si>
    <t>C80</t>
  </si>
  <si>
    <t>C87, C88, C89, C109, C110, C111, C115, C117</t>
  </si>
  <si>
    <t>C97, C119, C122, C123, C126, C130, C133, C134</t>
  </si>
  <si>
    <t>C100, C101, C102, C103, C104, C105, C106, C107</t>
  </si>
  <si>
    <t>C121, C124, C125, C127</t>
  </si>
  <si>
    <t>D1</t>
  </si>
  <si>
    <t>D2</t>
  </si>
  <si>
    <t>J1</t>
  </si>
  <si>
    <t>J2</t>
  </si>
  <si>
    <t>MK1, MK2, MK3, MK4, MK5, MK6, MK7, MK8</t>
  </si>
  <si>
    <t>MK9, MK10, MK11, MK12</t>
  </si>
  <si>
    <t>P1</t>
  </si>
  <si>
    <t>P2, P3, P4, P5, P6</t>
  </si>
  <si>
    <t>R1, R2, R3</t>
  </si>
  <si>
    <t>R4, R5, R6, R22, R23, R24, R34, R38</t>
  </si>
  <si>
    <t>R7, R8, R9</t>
  </si>
  <si>
    <t>R10, R13, R14, R25, R26, R27, R35, R39, R42, R43</t>
  </si>
  <si>
    <t>R11, R12</t>
  </si>
  <si>
    <t>R44, R45, R46, R47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</si>
  <si>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SB51, SB52, SB53, SB54, SB55, SB56, SB57, SB58, SB59, SB60, SB61, SB62, SB63, SB64, SB65, SB66, SB67, SB68, SB69, SB70, SB71, SB72, SB73, SB74, SB75, SB76, SB77, SB78, SB79, SB80, SB81, SB82, SB83, SB84, SB85, SB86, SB87, SB88, SB89, SB90, SB91, SB92, SB93, SB94, SB95, SB96, SB97, SB98, SB99, SB100, SB101, SB102, SB103, SB104, SB105, SB106</t>
  </si>
  <si>
    <t>SW1</t>
  </si>
  <si>
    <t>U1</t>
  </si>
  <si>
    <t>U2, U7, U8, U9, U10, U11, U12, U14</t>
  </si>
  <si>
    <t>U3</t>
  </si>
  <si>
    <t>U4</t>
  </si>
  <si>
    <t>U5, U6</t>
  </si>
  <si>
    <t>U13</t>
  </si>
  <si>
    <t>U15</t>
  </si>
  <si>
    <t>U16, U17, U18, U19</t>
  </si>
  <si>
    <t>X1</t>
  </si>
  <si>
    <t>X2, X3</t>
  </si>
  <si>
    <t>Description</t>
  </si>
  <si>
    <t>CAP CER 4.7UF 16V X5R 0603</t>
  </si>
  <si>
    <t>CAP CER 4.7UF 25V X5R 0603</t>
  </si>
  <si>
    <t>CAP CER 220PF 50V C0G/NPO 0402</t>
  </si>
  <si>
    <t>CAP TANT POLY 680UF 6.3V 2917</t>
  </si>
  <si>
    <t>CAP CER 0.1UF 50V X5R 0603</t>
  </si>
  <si>
    <t>CAP CER 0.22UF 50V X7S 0603</t>
  </si>
  <si>
    <t>CAP SMD 18pF ±5.0% 50V NPO 0603</t>
  </si>
  <si>
    <t>CAP CER 10UF 25V X5R 0603</t>
  </si>
  <si>
    <t>CAP CER 10PF 50V C0G/NPO 0603</t>
  </si>
  <si>
    <t>CAP CER 1UF 25V X5R 0402</t>
  </si>
  <si>
    <t>CAP CER 100PF 25V X7R 0603</t>
  </si>
  <si>
    <t>CAP CER 27PF 50V C0G/NPO 0603</t>
  </si>
  <si>
    <t>CAP CER 0.1UF 16V X5R 0402</t>
  </si>
  <si>
    <t>CAP CER 10UF 16V X7R 0805</t>
  </si>
  <si>
    <t>CAP CER 10UF 10V X5R 0603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</si>
  <si>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</si>
  <si>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</si>
  <si>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</si>
  <si>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</si>
  <si>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</si>
  <si>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Lovato Analog Bottom Port Mic</t>
  </si>
  <si>
    <t>CONN HEADER VERT 6POS 2.54MM</t>
  </si>
  <si>
    <t>Test Point ON</t>
  </si>
  <si>
    <t>RES SMD 100K OHM 5% 1/5W 0603</t>
  </si>
  <si>
    <t>RES 300K OHM 1% 1/10W 0603</t>
  </si>
  <si>
    <t>RES SMD 0R, 1%, 0.1W, 0603</t>
  </si>
  <si>
    <t>RES SMD 4.7K OHM 5% 1/10W 0603</t>
  </si>
  <si>
    <t>RES SMD 5.1K OHM 5% 1/10W 0603</t>
  </si>
  <si>
    <t>RES 10K OHM 1% 1/16W 0402</t>
  </si>
  <si>
    <t>RES 11.3K OHM 1% 1/10W 0603</t>
  </si>
  <si>
    <t>Solder Bridge ON</t>
  </si>
  <si>
    <t>3mm 2mm Round Button 50mA Top3.65mm SPST 12V SMD Tactile Switches</t>
  </si>
  <si>
    <t>RF TXRX MOD WIFI PCB TRACE SMD</t>
  </si>
  <si>
    <t>IC OPAMP GP 1 CIRCUIT SOT23-5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</si>
  <si>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</si>
  <si>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</si>
  <si>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</si>
  <si>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</si>
  <si>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IC ADC AUDIO 768K 24WQFN</t>
  </si>
  <si>
    <t>IC AMP CLASS AB STEREO 16TQFN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</si>
  <si>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</si>
  <si>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</si>
  <si>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</si>
  <si>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Cap-0603</t>
  </si>
  <si>
    <t>Cap 0603</t>
  </si>
  <si>
    <t>Cap 0402</t>
  </si>
  <si>
    <t>Case-D</t>
  </si>
  <si>
    <t>Cap-0402</t>
  </si>
  <si>
    <t>Cap-0805</t>
  </si>
  <si>
    <t>UDD32C03L01</t>
  </si>
  <si>
    <t>X1SON - 0.45 mm max height</t>
  </si>
  <si>
    <t>HDR1X5</t>
  </si>
  <si>
    <t>U262-061N-4BVC11</t>
  </si>
  <si>
    <t>SPM0687LR5H-1</t>
  </si>
  <si>
    <t>SPH8878LR5H-1</t>
  </si>
  <si>
    <t>HDR1X6</t>
  </si>
  <si>
    <t>Test-point</t>
  </si>
  <si>
    <t>Res0603</t>
  </si>
  <si>
    <t>Res-0603</t>
  </si>
  <si>
    <t>Res-0402</t>
  </si>
  <si>
    <t>Solder Bridge</t>
  </si>
  <si>
    <t>TS-1185EC-C-D-B</t>
  </si>
  <si>
    <t>ESP32-WROVER-E-N8R8</t>
  </si>
  <si>
    <t>SOT-23-5</t>
  </si>
  <si>
    <t>SOT-25</t>
  </si>
  <si>
    <t>32TQFP</t>
  </si>
  <si>
    <t>PCM1865DBTR</t>
  </si>
  <si>
    <t>UMH3N</t>
  </si>
  <si>
    <t>24-WQFN (4x4)</t>
  </si>
  <si>
    <t>16-TQFN (4x4)</t>
  </si>
  <si>
    <t>3TJ481920NYLBC</t>
  </si>
  <si>
    <t>S3224576121060</t>
  </si>
  <si>
    <t>Manufacturer Part Number</t>
  </si>
  <si>
    <t>CC0603KRX5R7BB475</t>
  </si>
  <si>
    <t>CL10A475KA8NQNC</t>
  </si>
  <si>
    <t>CC0402JRNPO9BN221</t>
  </si>
  <si>
    <t>6TPE680MI</t>
  </si>
  <si>
    <t>CC0603KRX5R9BB104</t>
  </si>
  <si>
    <t>UMK107C7224KAHTE</t>
  </si>
  <si>
    <t>CC0603JRNPO9BN180</t>
  </si>
  <si>
    <t>CC0603JRNPO9BN100</t>
  </si>
  <si>
    <t>CC0402KRX5R8BB105</t>
  </si>
  <si>
    <t>CC0603KRX7R8BB101</t>
  </si>
  <si>
    <t>CC0603JRNPO9BN270</t>
  </si>
  <si>
    <t>C1608X5R1E106M080AC</t>
  </si>
  <si>
    <t>CC0402KRX5R7BB104</t>
  </si>
  <si>
    <t>EMK212BB7106MG-T</t>
  </si>
  <si>
    <t>CC0603KRX5R6BB106</t>
  </si>
  <si>
    <t>TPD1E10B06DPYR</t>
  </si>
  <si>
    <t>3-644456-5</t>
  </si>
  <si>
    <t>CRGH0603J100K</t>
  </si>
  <si>
    <t>RC0603FR-07300KL</t>
  </si>
  <si>
    <t>RC0603FR-070RL</t>
  </si>
  <si>
    <t>RC0603JR-074K7L</t>
  </si>
  <si>
    <t>RC0603JR-075K1L</t>
  </si>
  <si>
    <t>RC0402FR-0710KL</t>
  </si>
  <si>
    <t>RC0603FR-0711K3L</t>
  </si>
  <si>
    <t>OPA344NA/250</t>
  </si>
  <si>
    <t>XC6220B331MR-G</t>
  </si>
  <si>
    <t>ADS131M08IPBSR</t>
  </si>
  <si>
    <t>TLV320ADC5140IRTWT</t>
  </si>
  <si>
    <t>MAX4063ETE+T</t>
  </si>
  <si>
    <t>Manufacturer</t>
  </si>
  <si>
    <t>Yageo</t>
  </si>
  <si>
    <t>Samsung</t>
  </si>
  <si>
    <t>Panasonic</t>
  </si>
  <si>
    <t>Taiyo Yuden</t>
  </si>
  <si>
    <t>TDK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</si>
  <si>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</si>
  <si>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</si>
  <si>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</si>
  <si>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</si>
  <si>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</si>
  <si>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</si>
  <si>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</si>
  <si>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</si>
  <si>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</si>
  <si>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Maxim</t>
  </si>
  <si>
    <t>JYJE</t>
  </si>
  <si>
    <t>JGHC</t>
  </si>
  <si>
    <t>LCSC Part Number</t>
  </si>
  <si>
    <t>C277476</t>
  </si>
  <si>
    <t>C79115</t>
  </si>
  <si>
    <t>C106245</t>
  </si>
  <si>
    <t>C326568</t>
  </si>
  <si>
    <t>C107045</t>
  </si>
  <si>
    <t>C106204</t>
  </si>
  <si>
    <t>C326057</t>
  </si>
  <si>
    <t>C2764612</t>
  </si>
  <si>
    <t>C105428</t>
  </si>
  <si>
    <t>C60490</t>
  </si>
  <si>
    <t>C2973667</t>
  </si>
  <si>
    <t>C131974</t>
  </si>
  <si>
    <t>4.7uF</t>
  </si>
  <si>
    <t>4.7UF</t>
  </si>
  <si>
    <t>1uF</t>
  </si>
  <si>
    <t>220pF</t>
  </si>
  <si>
    <t>680uF</t>
  </si>
  <si>
    <t>100nF</t>
  </si>
  <si>
    <t>220nF</t>
  </si>
  <si>
    <t>18pF</t>
  </si>
  <si>
    <t>10uF</t>
  </si>
  <si>
    <t>10pF</t>
  </si>
  <si>
    <t>100pF</t>
  </si>
  <si>
    <t>27pF</t>
  </si>
  <si>
    <t>100K</t>
  </si>
  <si>
    <t>300K</t>
  </si>
  <si>
    <t>0R</t>
  </si>
  <si>
    <t>4.7K</t>
  </si>
  <si>
    <t>5.1K</t>
  </si>
  <si>
    <t>10K</t>
  </si>
  <si>
    <t>11.3K</t>
  </si>
  <si>
    <t>Quantity</t>
  </si>
  <si>
    <t>Diode</t>
  </si>
  <si>
    <t>Header</t>
  </si>
  <si>
    <t xml:space="preserve">Test Point </t>
  </si>
  <si>
    <t>Resistor</t>
  </si>
  <si>
    <t>Solder bridge</t>
  </si>
  <si>
    <t>Switch</t>
  </si>
  <si>
    <t>Crystal</t>
  </si>
  <si>
    <t>Alternate Part Number</t>
  </si>
  <si>
    <t>Value</t>
  </si>
  <si>
    <t>Quantity (5000 Boards)</t>
  </si>
  <si>
    <t>MOQ (5000 Boards)</t>
  </si>
  <si>
    <t>Links</t>
  </si>
  <si>
    <t>Unit Cost (5000 Boards)</t>
  </si>
  <si>
    <t>Total Cost (5000 Boards)</t>
  </si>
  <si>
    <t>Remarks</t>
  </si>
  <si>
    <t>Reviewer Remarks</t>
  </si>
  <si>
    <t xml:space="preserve">Total Component Cost </t>
  </si>
  <si>
    <t>Single Board Cost</t>
  </si>
  <si>
    <t>Quantity (20 Boards)</t>
  </si>
  <si>
    <t>MOQ (20 Boards)</t>
  </si>
  <si>
    <t>Unit Cost (20 Boards)</t>
  </si>
  <si>
    <t>Total Cost (20 Boards)</t>
  </si>
  <si>
    <t>LCSC</t>
  </si>
  <si>
    <t>SOD-323</t>
  </si>
  <si>
    <t>-</t>
  </si>
  <si>
    <t>C78439</t>
  </si>
  <si>
    <t>C2972450</t>
  </si>
  <si>
    <t>PZ254V-11-05P</t>
  </si>
  <si>
    <t>C492404</t>
  </si>
  <si>
    <t>Custom</t>
  </si>
  <si>
    <t xml:space="preserve">Custom Supplier </t>
  </si>
  <si>
    <t>C37208</t>
  </si>
  <si>
    <t>C181312</t>
  </si>
  <si>
    <t>C2898996</t>
  </si>
  <si>
    <t>8.192MHz</t>
  </si>
  <si>
    <t>C390772</t>
  </si>
  <si>
    <t>24.576MHz</t>
  </si>
  <si>
    <t xml:space="preserve">RS-03K104JT
</t>
  </si>
  <si>
    <t>C73806</t>
  </si>
  <si>
    <t>30TSSOP</t>
  </si>
  <si>
    <t>SC-70-6</t>
  </si>
  <si>
    <t>C100044</t>
  </si>
  <si>
    <t>C14677</t>
  </si>
  <si>
    <t>C69335</t>
  </si>
  <si>
    <t>C107001</t>
  </si>
  <si>
    <t>C386159</t>
  </si>
  <si>
    <t>C107040</t>
  </si>
  <si>
    <t>C519410</t>
  </si>
  <si>
    <t>C141287</t>
  </si>
  <si>
    <t>C114667</t>
  </si>
  <si>
    <t>C137803</t>
  </si>
  <si>
    <t>C86534</t>
  </si>
  <si>
    <t>Bill of Materials for Project [Sound_Sensor]</t>
  </si>
  <si>
    <t>Sound_Sensor</t>
  </si>
  <si>
    <t>Quantity (1000 Boards)</t>
  </si>
  <si>
    <t>MOQ (1000 Boards)</t>
  </si>
  <si>
    <t>Unit Cost (1000 Boards)</t>
  </si>
  <si>
    <t>Total Cost (1000 Boards)</t>
  </si>
  <si>
    <t>C56, C57, C75, C96, C129, C131, C132</t>
  </si>
  <si>
    <t>R15, R16, R17,  R18, R19, R20, R21, R28, R29, R30, R31, R32, R33, R36, R37, R40, R41</t>
  </si>
  <si>
    <t>C3, C5, C7, C9, C11, C13, C15, C17, C27, C29, C35, C39, C42, C53, C55, C64, C65, C66, C67, C70, C72, C76, C78, C85, C90, C91, C92, C93, C94, C95, C98, C99, C108, C112, C113, C114, C116, C118, C120, C128, C135, C136, C#2</t>
  </si>
  <si>
    <t>C20, C22, C31, C33, C34, C38, C41, C54, C58, C59, C71, C77, C79, C81, C82, C84</t>
  </si>
  <si>
    <t>CL10B104KB8NNNC</t>
  </si>
  <si>
    <t>C1591</t>
  </si>
  <si>
    <t>C1608X5R1E106MT000E</t>
  </si>
  <si>
    <t>C76614</t>
  </si>
  <si>
    <t>R15, R16, R17, R18, R19, R20, R21, R28, R29, R30, R31, R32, R33, R36, R37, R40, R41</t>
  </si>
  <si>
    <t xml:space="preserve">Karen Quote </t>
  </si>
  <si>
    <t>DO NOT MOUNT</t>
  </si>
  <si>
    <t>Karen Quote</t>
  </si>
  <si>
    <t>Available stock in Karen House 1500 pcs</t>
  </si>
  <si>
    <t xml:space="preserve">LULU Quote </t>
  </si>
  <si>
    <t>Karan Quote</t>
  </si>
  <si>
    <t>LULU Quote</t>
  </si>
  <si>
    <t>Available stock in LULU House 1661 pcs</t>
  </si>
  <si>
    <t>C123008</t>
  </si>
  <si>
    <t>UMH3NTN</t>
  </si>
  <si>
    <t>C318893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</si>
</sst>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4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/>
    </xf>
    <xf numFmtId="0" fontId="17" fillId="5" borderId="21" xfId="0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0" fillId="3" borderId="0" xfId="0" applyFill="1"/>
    <xf numFmtId="0" fontId="18" fillId="2" borderId="17" xfId="0" applyFont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1" fillId="5" borderId="15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22" fillId="4" borderId="17" xfId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4" fillId="4" borderId="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3" fillId="2" borderId="23" xfId="0" applyFont="1" applyFill="1" applyBorder="1" applyAlignment="1">
      <alignment horizontal="center" vertical="center" wrapText="1"/>
    </xf>
    <xf numFmtId="0" fontId="25" fillId="2" borderId="17" xfId="1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6" fillId="4" borderId="6" xfId="0" applyFont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F195F-DF71-4FA6-903F-D3FC8AF27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450050" y="620016"/>
          <a:ext cx="1714500" cy="11135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BCEA9E-574C-4CB1-8931-9EB82F2FB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92975" y="620016"/>
          <a:ext cx="1714500" cy="1113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Taiyo-Yuden-UMK107C7224KAHTE_C386159.html" TargetMode="External"/><Relationship Id="rId18" Type="http://schemas.openxmlformats.org/officeDocument/2006/relationships/hyperlink" Target="https://www.lcsc.com/product-detail/Multilayer-Ceramic-Capacitors-MLCC-SMD-SMT_YAGEO-CC0603JRNPO9BN270_C107045.html" TargetMode="External"/><Relationship Id="rId26" Type="http://schemas.openxmlformats.org/officeDocument/2006/relationships/hyperlink" Target="https://www.lcsc.com/product-detail/Chip-Resistor-Surface-Mount_YAGEO-RC0402FR-0710KL_C60490.html" TargetMode="External"/><Relationship Id="rId21" Type="http://schemas.openxmlformats.org/officeDocument/2006/relationships/hyperlink" Target="https://www.lcsc.com/product-detail/Multilayer-Ceramic-Capacitors-MLCC-SMD-SMT_YAGEO-CC0603KRX5R6BB106_C326057.html" TargetMode="External"/><Relationship Id="rId34" Type="http://schemas.openxmlformats.org/officeDocument/2006/relationships/hyperlink" Target="https://www.lcsc.com/product-detail/Tactile-Switches_XKB-Connectivity-TS-1185EC-C-D-B_C318893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YAGEO-CC0402JRNPO9BN221_C107001.html" TargetMode="External"/><Relationship Id="rId17" Type="http://schemas.openxmlformats.org/officeDocument/2006/relationships/hyperlink" Target="https://www.lcsc.com/product-detail/Multilayer-Ceramic-Capacitors-MLCC-SMD-SMT_YAGEO-CC0603KRX7R8BB101_C519410.html" TargetMode="External"/><Relationship Id="rId25" Type="http://schemas.openxmlformats.org/officeDocument/2006/relationships/hyperlink" Target="https://www.lcsc.com/product-detail/Chip-Resistor-Surface-Mount_YAGEO-RC0603JR-074K7L_C105428.html" TargetMode="External"/><Relationship Id="rId33" Type="http://schemas.openxmlformats.org/officeDocument/2006/relationships/hyperlink" Target="https://www.lcsc.com/product-detail/Multilayer-Ceramic-Capacitors-MLCC-SMD-SMT_TDK-C1608X5R1E106MT000E_C76614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402KRX5R8BB105_C326568.html" TargetMode="External"/><Relationship Id="rId20" Type="http://schemas.openxmlformats.org/officeDocument/2006/relationships/hyperlink" Target="https://www.lcsc.com/product-detail/Multilayer-Ceramic-Capacitors-MLCC-SMD-SMT_Taiyo-Yuden-EMK212BB7106MG-T_C141287.html" TargetMode="External"/><Relationship Id="rId29" Type="http://schemas.openxmlformats.org/officeDocument/2006/relationships/hyperlink" Target="https://www.lcsc.com/product-detail/Linear-Voltage-Regulators-LDO_Torex-Semicon-XC6220B331MR-G_C86534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Samsung-Electro-Mechanics-CL10A475KA8NQNC_C69335.html" TargetMode="External"/><Relationship Id="rId24" Type="http://schemas.openxmlformats.org/officeDocument/2006/relationships/hyperlink" Target="https://www.lcsc.com/product-detail/Chip-Resistor-Surface-Mount_YAGEO-RC0603FR-070RL_C100044.html" TargetMode="External"/><Relationship Id="rId32" Type="http://schemas.openxmlformats.org/officeDocument/2006/relationships/hyperlink" Target="https://www.lcsc.com/product-detail/Multilayer-Ceramic-Capacitors-MLCC-SMD-SMT_Samsung-Electro-Mechanics-CL10B104KB8NNNC_C1591.html" TargetMode="External"/><Relationship Id="rId37" Type="http://schemas.openxmlformats.org/officeDocument/2006/relationships/drawing" Target="../drawings/drawing1.xm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23" Type="http://schemas.openxmlformats.org/officeDocument/2006/relationships/hyperlink" Target="https://www.lcsc.com/product-detail/Chip-Resistor-Surface-Mount_YAGEO-RC0603FR-07300KL_C114667.html" TargetMode="External"/><Relationship Id="rId28" Type="http://schemas.openxmlformats.org/officeDocument/2006/relationships/hyperlink" Target="https://www.lcsc.com/product-detail/Precision-OpAmps_Texas-Instruments-OPA344NA-250_C131974.html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Multilayer-Ceramic-Capacitors-MLCC-SMD-SMT_YAGEO-CC0603KRX5R7BB475_C277476.html" TargetMode="External"/><Relationship Id="rId19" Type="http://schemas.openxmlformats.org/officeDocument/2006/relationships/hyperlink" Target="https://www.lcsc.com/product-detail/Multilayer-Ceramic-Capacitors-MLCC-SMD-SMT_YAGEO-CC0402KRX5R7BB104_C106204.html" TargetMode="External"/><Relationship Id="rId31" Type="http://schemas.openxmlformats.org/officeDocument/2006/relationships/hyperlink" Target="https://www.lcsc.com/product-detail/Crystals_JGHC-S3224576121060_C390772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lcsc.com/product-detail/Chip-Resistor-Surface-Mount_YAGEO-RC0603JR-075K1L_C14677.html" TargetMode="External"/><Relationship Id="rId14" Type="http://schemas.openxmlformats.org/officeDocument/2006/relationships/hyperlink" Target="https://www.lcsc.com/product-detail/Multilayer-Ceramic-Capacitors-MLCC-SMD-SMT_YAGEO-CC0603JRNPO9BN180_C107040.html" TargetMode="External"/><Relationship Id="rId22" Type="http://schemas.openxmlformats.org/officeDocument/2006/relationships/hyperlink" Target="https://www.lcsc.com/product-detail/Pin-Headers_XFCN-PZ254V-11-05P_C492404.html" TargetMode="External"/><Relationship Id="rId27" Type="http://schemas.openxmlformats.org/officeDocument/2006/relationships/hyperlink" Target="https://www.lcsc.com/product-detail/Chip-Resistor-Surface-Mount_YAGEO-RC0603FR-0711K3L_C137803.html" TargetMode="External"/><Relationship Id="rId30" Type="http://schemas.openxmlformats.org/officeDocument/2006/relationships/hyperlink" Target="https://www.lcsc.com/product-detail/Crystals_JYJE-3TJ481920NYLBC_C2898996.html" TargetMode="External"/><Relationship Id="rId35" Type="http://schemas.openxmlformats.org/officeDocument/2006/relationships/hyperlink" Target="https://www.lcsc.com/product-detail/Digital-Transistors_ROHM-Semicon-UMH3NTN_C123008.html" TargetMode="External"/><Relationship Id="rId8" Type="http://schemas.openxmlformats.org/officeDocument/2006/relationships/hyperlink" Target="https://www.lcsc.com/product-detail/WiFi-Modules_Espressif-Systems-ESP32-WROVER-E-N8R8_C2973667.html" TargetMode="External"/><Relationship Id="rId3" Type="http://schemas.openxmlformats.org/officeDocument/2006/relationships/hyperlink" Target="https://lcsc.com/product-detail/ESD-Protection-Devices_Leiditech-TPD1E10B06DPYR_C2972450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0603JRNPO9BN180_C107040.html" TargetMode="External"/><Relationship Id="rId18" Type="http://schemas.openxmlformats.org/officeDocument/2006/relationships/hyperlink" Target="https://www.lcsc.com/product-detail/Multilayer-Ceramic-Capacitors-MLCC-SMD-SMT_YAGEO-CC0402KRX5R7BB104_C106204.html" TargetMode="External"/><Relationship Id="rId26" Type="http://schemas.openxmlformats.org/officeDocument/2006/relationships/hyperlink" Target="https://www.lcsc.com/product-detail/Chip-Resistor-Surface-Mount_YAGEO-RC0603FR-0711K3L_C137803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Pin-Headers_XFCN-PZ254V-11-05P_C492404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Taiyo-Yuden-UMK107C7224KAHTE_C386159.html" TargetMode="External"/><Relationship Id="rId17" Type="http://schemas.openxmlformats.org/officeDocument/2006/relationships/hyperlink" Target="https://www.lcsc.com/product-detail/Multilayer-Ceramic-Capacitors-MLCC-SMD-SMT_YAGEO-CC0603JRNPO9BN270_C107045.html" TargetMode="External"/><Relationship Id="rId25" Type="http://schemas.openxmlformats.org/officeDocument/2006/relationships/hyperlink" Target="https://www.lcsc.com/product-detail/Chip-Resistor-Surface-Mount_YAGEO-RC0402FR-0710KL_C60490.html" TargetMode="External"/><Relationship Id="rId33" Type="http://schemas.openxmlformats.org/officeDocument/2006/relationships/drawing" Target="../drawings/drawing2.xm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KRX7R8BB101_C519410.html" TargetMode="External"/><Relationship Id="rId20" Type="http://schemas.openxmlformats.org/officeDocument/2006/relationships/hyperlink" Target="https://www.lcsc.com/product-detail/Multilayer-Ceramic-Capacitors-MLCC-SMD-SMT_YAGEO-CC0603KRX5R6BB106_C326057.html" TargetMode="External"/><Relationship Id="rId29" Type="http://schemas.openxmlformats.org/officeDocument/2006/relationships/hyperlink" Target="https://www.lcsc.com/product-detail/Crystals_JGHC-S3224576121060_C390772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YAGEO-CC0402JRNPO9BN221_C107001.html" TargetMode="External"/><Relationship Id="rId24" Type="http://schemas.openxmlformats.org/officeDocument/2006/relationships/hyperlink" Target="https://www.lcsc.com/product-detail/Chip-Resistor-Surface-Mount_YAGEO-RC0603JR-074K7L_C105428.html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402KRX5R8BB105_C326568.html" TargetMode="External"/><Relationship Id="rId23" Type="http://schemas.openxmlformats.org/officeDocument/2006/relationships/hyperlink" Target="https://www.lcsc.com/product-detail/Chip-Resistor-Surface-Mount_YAGEO-RC0603FR-070RL_C100044.html" TargetMode="External"/><Relationship Id="rId28" Type="http://schemas.openxmlformats.org/officeDocument/2006/relationships/hyperlink" Target="https://www.lcsc.com/product-detail/Crystals_JYJE-3TJ481920NYLBC_C2898996.html" TargetMode="External"/><Relationship Id="rId10" Type="http://schemas.openxmlformats.org/officeDocument/2006/relationships/hyperlink" Target="https://www.lcsc.com/product-detail/Multilayer-Ceramic-Capacitors-MLCC-SMD-SMT_Samsung-Electro-Mechanics-CL10A475KA8NQNC_C69335.html" TargetMode="External"/><Relationship Id="rId19" Type="http://schemas.openxmlformats.org/officeDocument/2006/relationships/hyperlink" Target="https://www.lcsc.com/product-detail/Multilayer-Ceramic-Capacitors-MLCC-SMD-SMT_Taiyo-Yuden-EMK212BB7106MG-T_C141287.html" TargetMode="External"/><Relationship Id="rId31" Type="http://schemas.openxmlformats.org/officeDocument/2006/relationships/hyperlink" Target="https://www.lcsc.com/product-detail/Multilayer-Ceramic-Capacitors-MLCC-SMD-SMT_TDK-C1608X5R1E106MT000E_C76614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www.lcsc.com/product-detail/Multilayer-Ceramic-Capacitors-MLCC-SMD-SMT_YAGEO-CC0603KRX5R7BB475_C277476.html" TargetMode="External"/><Relationship Id="rId14" Type="http://schemas.openxmlformats.org/officeDocument/2006/relationships/hyperlink" Target="https://www.lcsc.com/product-detail/Multilayer-Ceramic-Capacitors-MLCC-SMD-SMT_YAGEO-CC0603JRNPO9BN100_C106245.html" TargetMode="External"/><Relationship Id="rId22" Type="http://schemas.openxmlformats.org/officeDocument/2006/relationships/hyperlink" Target="https://www.lcsc.com/product-detail/Chip-Resistor-Surface-Mount_YAGEO-RC0603FR-07300KL_C114667.html" TargetMode="External"/><Relationship Id="rId27" Type="http://schemas.openxmlformats.org/officeDocument/2006/relationships/hyperlink" Target="https://www.lcsc.com/product-detail/Linear-Voltage-Regulators-LDO_Torex-Semicon-XC6220B331MR-G_C86534.html" TargetMode="External"/><Relationship Id="rId30" Type="http://schemas.openxmlformats.org/officeDocument/2006/relationships/hyperlink" Target="https://www.lcsc.com/product-detail/Multilayer-Ceramic-Capacitors-MLCC-SMD-SMT_Samsung-Electro-Mechanics-CL10B104KB8NNNC_C1591.html" TargetMode="External"/><Relationship Id="rId8" Type="http://schemas.openxmlformats.org/officeDocument/2006/relationships/hyperlink" Target="https://lcsc.com/product-detail/Chip-Resistor-Surface-Mount_YAGEO-RC0603JR-075K1L_C14677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XFCN-PZ254V-11-05P_C492404.html" TargetMode="External"/><Relationship Id="rId13" Type="http://schemas.openxmlformats.org/officeDocument/2006/relationships/hyperlink" Target="https://www.lcsc.com/product-detail/Chip-Resistor-Surface-Mount_YAGEO-RC0603FR-0711K3L_C137803.html" TargetMode="External"/><Relationship Id="rId18" Type="http://schemas.openxmlformats.org/officeDocument/2006/relationships/hyperlink" Target="https://www.lcsc.com/product-detail/Multilayer-Ceramic-Capacitors-MLCC-SMD-SMT_YAGEO-CC0603KRX5R7BB475_C277476.html" TargetMode="External"/><Relationship Id="rId26" Type="http://schemas.openxmlformats.org/officeDocument/2006/relationships/hyperlink" Target="https://www.lcsc.com/product-detail/Multilayer-Ceramic-Capacitors-MLCC-SMD-SMT_YAGEO-CC0603JRNPO9BN270_C107045.html" TargetMode="External"/><Relationship Id="rId3" Type="http://schemas.openxmlformats.org/officeDocument/2006/relationships/hyperlink" Target="https://www.lcsc.com/product-detail/USB-Connectors_XKB-Connectivity-U262-061N-4BVC11_C2764612.html" TargetMode="External"/><Relationship Id="rId21" Type="http://schemas.openxmlformats.org/officeDocument/2006/relationships/hyperlink" Target="https://www.lcsc.com/product-detail/Multilayer-Ceramic-Capacitors-MLCC-SMD-SMT_Taiyo-Yuden-UMK107C7224KAHTE_C386159.html" TargetMode="External"/><Relationship Id="rId7" Type="http://schemas.openxmlformats.org/officeDocument/2006/relationships/hyperlink" Target="https://lcsc.com/product-detail/Chip-Resistor-Surface-Mount_YAGEO-RC0603JR-075K1L_C14677.html" TargetMode="External"/><Relationship Id="rId12" Type="http://schemas.openxmlformats.org/officeDocument/2006/relationships/hyperlink" Target="https://www.lcsc.com/product-detail/Chip-Resistor-Surface-Mount_YAGEO-RC0402FR-0710KL_C60490.html" TargetMode="External"/><Relationship Id="rId17" Type="http://schemas.openxmlformats.org/officeDocument/2006/relationships/hyperlink" Target="https://www.lcsc.com/product-detail/Tantalum-Capacitors_PANASONIC-6TPE680MI_C79115.html" TargetMode="External"/><Relationship Id="rId25" Type="http://schemas.openxmlformats.org/officeDocument/2006/relationships/hyperlink" Target="https://www.lcsc.com/product-detail/Multilayer-Ceramic-Capacitors-MLCC-SMD-SMT_YAGEO-CC0603KRX7R8BB101_C519410.html" TargetMode="External"/><Relationship Id="rId2" Type="http://schemas.openxmlformats.org/officeDocument/2006/relationships/hyperlink" Target="https://lcsc.com/product-detail/ESD-Protection-Devices_Leiditech-TPD1E10B06DPYR_C2972450.html" TargetMode="External"/><Relationship Id="rId16" Type="http://schemas.openxmlformats.org/officeDocument/2006/relationships/hyperlink" Target="https://www.lcsc.com/product-detail/Crystals_JGHC-S3224576121060_C390772.html" TargetMode="External"/><Relationship Id="rId20" Type="http://schemas.openxmlformats.org/officeDocument/2006/relationships/hyperlink" Target="https://www.lcsc.com/product-detail/Multilayer-Ceramic-Capacitors-MLCC-SMD-SMT_YAGEO-CC0402JRNPO9BN221_C107001.html" TargetMode="External"/><Relationship Id="rId29" Type="http://schemas.openxmlformats.org/officeDocument/2006/relationships/hyperlink" Target="https://www.lcsc.com/product-detail/Multilayer-Ceramic-Capacitors-MLCC-SMD-SMT_YAGEO-CC0603KRX5R6BB106_C326057.html" TargetMode="External"/><Relationship Id="rId1" Type="http://schemas.openxmlformats.org/officeDocument/2006/relationships/hyperlink" Target="https://lcsc.com/product-detail/ESD-Protection-Devices_Brightking-Elec-TAIWAN-UDD32C03L01_C78439.html" TargetMode="External"/><Relationship Id="rId6" Type="http://schemas.openxmlformats.org/officeDocument/2006/relationships/hyperlink" Target="https://lcsc.com/product-detail/Chip-Resistor-Surface-Mount_FH-Guangdong-Fenghua-Advanced-Tech-RS-03K104JT_C73806.html" TargetMode="External"/><Relationship Id="rId11" Type="http://schemas.openxmlformats.org/officeDocument/2006/relationships/hyperlink" Target="https://www.lcsc.com/product-detail/Chip-Resistor-Surface-Mount_YAGEO-RC0603JR-074K7L_C105428.html" TargetMode="External"/><Relationship Id="rId24" Type="http://schemas.openxmlformats.org/officeDocument/2006/relationships/hyperlink" Target="https://www.lcsc.com/product-detail/Multilayer-Ceramic-Capacitors-MLCC-SMD-SMT_YAGEO-CC0402KRX5R8BB105_C326568.html" TargetMode="External"/><Relationship Id="rId32" Type="http://schemas.openxmlformats.org/officeDocument/2006/relationships/drawing" Target="../drawings/drawing3.xml"/><Relationship Id="rId5" Type="http://schemas.openxmlformats.org/officeDocument/2006/relationships/hyperlink" Target="https://www.lcsc.com/product-detail/Analog-Front-End-AFEs_Texas-Instruments-PCM1865DBTR_C181312.html" TargetMode="External"/><Relationship Id="rId15" Type="http://schemas.openxmlformats.org/officeDocument/2006/relationships/hyperlink" Target="https://www.lcsc.com/product-detail/Crystals_JYJE-3TJ481920NYLBC_C2898996.html" TargetMode="External"/><Relationship Id="rId23" Type="http://schemas.openxmlformats.org/officeDocument/2006/relationships/hyperlink" Target="https://www.lcsc.com/product-detail/Multilayer-Ceramic-Capacitors-MLCC-SMD-SMT_YAGEO-CC0603JRNPO9BN100_C106245.html" TargetMode="External"/><Relationship Id="rId28" Type="http://schemas.openxmlformats.org/officeDocument/2006/relationships/hyperlink" Target="https://www.lcsc.com/product-detail/Multilayer-Ceramic-Capacitors-MLCC-SMD-SMT_Taiyo-Yuden-EMK212BB7106MG-T_C141287.html" TargetMode="External"/><Relationship Id="rId10" Type="http://schemas.openxmlformats.org/officeDocument/2006/relationships/hyperlink" Target="https://www.lcsc.com/product-detail/Chip-Resistor-Surface-Mount_YAGEO-RC0603FR-070RL_C100044.html" TargetMode="External"/><Relationship Id="rId19" Type="http://schemas.openxmlformats.org/officeDocument/2006/relationships/hyperlink" Target="https://www.lcsc.com/product-detail/Multilayer-Ceramic-Capacitors-MLCC-SMD-SMT_Samsung-Electro-Mechanics-CL10A475KA8NQNC_C69335.html" TargetMode="External"/><Relationship Id="rId31" Type="http://schemas.openxmlformats.org/officeDocument/2006/relationships/hyperlink" Target="https://www.lcsc.com/product-detail/Multilayer-Ceramic-Capacitors-MLCC-SMD-SMT_TDK-C1608X5R1E106MT000E_C76614.html" TargetMode="External"/><Relationship Id="rId4" Type="http://schemas.openxmlformats.org/officeDocument/2006/relationships/hyperlink" Target="https://www.lcsc.com/product-detail/Pin-Headers_BOOMELE-Boom-Precision-Elec-C37208_C37208.html" TargetMode="External"/><Relationship Id="rId9" Type="http://schemas.openxmlformats.org/officeDocument/2006/relationships/hyperlink" Target="https://www.lcsc.com/product-detail/Chip-Resistor-Surface-Mount_YAGEO-RC0603FR-07300KL_C114667.html" TargetMode="External"/><Relationship Id="rId14" Type="http://schemas.openxmlformats.org/officeDocument/2006/relationships/hyperlink" Target="https://www.lcsc.com/product-detail/Linear-Voltage-Regulators-LDO_Torex-Semicon-XC6220B331MR-G_C86534.html" TargetMode="External"/><Relationship Id="rId22" Type="http://schemas.openxmlformats.org/officeDocument/2006/relationships/hyperlink" Target="https://www.lcsc.com/product-detail/Multilayer-Ceramic-Capacitors-MLCC-SMD-SMT_YAGEO-CC0603JRNPO9BN180_C107040.html" TargetMode="External"/><Relationship Id="rId27" Type="http://schemas.openxmlformats.org/officeDocument/2006/relationships/hyperlink" Target="https://www.lcsc.com/product-detail/Multilayer-Ceramic-Capacitors-MLCC-SMD-SMT_YAGEO-CC0402KRX5R7BB104_C106204.html" TargetMode="External"/><Relationship Id="rId30" Type="http://schemas.openxmlformats.org/officeDocument/2006/relationships/hyperlink" Target="https://www.lcsc.com/product-detail/Multilayer-Ceramic-Capacitors-MLCC-SMD-SMT_Samsung-Electro-Mechanics-CL10B104KB8NNNC_C159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53"/>
  <sheetViews>
    <sheetView topLeftCell="G41" zoomScale="115" zoomScaleNormal="115" workbookViewId="0">
      <selection activeCell="J9" sqref="J9:J5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5" width="16.1406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8"/>
      <c r="L1" s="98"/>
      <c r="M1" s="98"/>
      <c r="N1" s="98"/>
      <c r="O1" s="98"/>
      <c r="P1" s="98"/>
      <c r="Q1" s="98"/>
      <c r="R1" s="98"/>
      <c r="S1" s="99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0"/>
    </row>
    <row r="4" spans="1:19" x14ac:dyDescent="0.25">
      <c r="A4" s="1"/>
      <c r="B4" s="22"/>
      <c r="C4" s="39"/>
      <c r="D4" s="13" t="s">
        <v>2</v>
      </c>
      <c r="E4" s="13"/>
      <c r="F4" s="50" t="s">
        <v>258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1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1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1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1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1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0" t="s">
        <v>204</v>
      </c>
      <c r="M9" s="30" t="s">
        <v>223</v>
      </c>
      <c r="N9" s="31" t="s">
        <v>224</v>
      </c>
      <c r="O9" s="30" t="s">
        <v>216</v>
      </c>
      <c r="P9" s="31" t="s">
        <v>225</v>
      </c>
      <c r="Q9" s="30" t="s">
        <v>226</v>
      </c>
      <c r="R9" s="31" t="s">
        <v>219</v>
      </c>
      <c r="S9" s="30" t="s">
        <v>220</v>
      </c>
    </row>
    <row r="10" spans="1:19" ht="36.75" thickBot="1" x14ac:dyDescent="0.3">
      <c r="A10" s="1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L10*20</f>
        <v>400</v>
      </c>
      <c r="N10" s="61">
        <v>450</v>
      </c>
      <c r="O10" s="69" t="s">
        <v>227</v>
      </c>
      <c r="P10" s="70">
        <v>2.07E-2</v>
      </c>
      <c r="Q10" s="70">
        <f>P10*N10</f>
        <v>9.3149999999999995</v>
      </c>
      <c r="R10" s="67"/>
      <c r="S10" s="70"/>
    </row>
    <row r="11" spans="1:19" ht="15.75" thickBot="1" x14ac:dyDescent="0.3">
      <c r="A11" s="1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248</v>
      </c>
      <c r="K11" s="58" t="s">
        <v>186</v>
      </c>
      <c r="L11" s="59">
        <v>1</v>
      </c>
      <c r="M11" s="45">
        <f t="shared" ref="M11:M51" si="1">L11*20</f>
        <v>20</v>
      </c>
      <c r="N11" s="45">
        <v>40</v>
      </c>
      <c r="O11" s="62" t="s">
        <v>227</v>
      </c>
      <c r="P11" s="47">
        <v>1.7399999999999999E-2</v>
      </c>
      <c r="Q11" s="47">
        <f t="shared" ref="Q11:Q51" si="2">P11*N11</f>
        <v>0.69599999999999995</v>
      </c>
      <c r="R11" s="46"/>
      <c r="S11" s="47"/>
    </row>
    <row r="12" spans="1:19" ht="84.75" thickBot="1" x14ac:dyDescent="0.3">
      <c r="A12" s="1"/>
      <c r="B12" s="37">
        <f>ROW(B12) - ROW($B$9)</f>
        <v>3</v>
      </c>
      <c r="C12" s="53" t="s">
        <v>7</v>
      </c>
      <c r="D12" s="71" t="s">
        <v>265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 t="s">
        <v>229</v>
      </c>
      <c r="J12" s="61" t="s">
        <v>176</v>
      </c>
      <c r="K12" s="68" t="s">
        <v>187</v>
      </c>
      <c r="L12" s="61">
        <v>43</v>
      </c>
      <c r="M12" s="61">
        <f>L12*20</f>
        <v>860</v>
      </c>
      <c r="N12" s="61">
        <v>900</v>
      </c>
      <c r="O12" s="69" t="s">
        <v>227</v>
      </c>
      <c r="P12" s="70">
        <v>7.4000000000000003E-3</v>
      </c>
      <c r="Q12" s="70">
        <f>P12*N12</f>
        <v>6.66</v>
      </c>
      <c r="R12" s="67"/>
      <c r="S12" s="70"/>
    </row>
    <row r="13" spans="1:19" ht="24.75" thickBot="1" x14ac:dyDescent="0.3">
      <c r="A13" s="1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249</v>
      </c>
      <c r="K13" s="58" t="s">
        <v>188</v>
      </c>
      <c r="L13" s="59">
        <v>12</v>
      </c>
      <c r="M13" s="45">
        <f t="shared" si="1"/>
        <v>240</v>
      </c>
      <c r="N13" s="45">
        <v>300</v>
      </c>
      <c r="O13" s="62" t="s">
        <v>227</v>
      </c>
      <c r="P13" s="47">
        <v>2.5999999999999999E-3</v>
      </c>
      <c r="Q13" s="47">
        <f t="shared" si="2"/>
        <v>0.77999999999999992</v>
      </c>
      <c r="R13" s="46"/>
      <c r="S13" s="47"/>
    </row>
    <row r="14" spans="1:19" ht="15.75" thickBot="1" x14ac:dyDescent="0.3">
      <c r="A14" s="1"/>
      <c r="B14" s="37">
        <f>ROW(B14) - ROW($B$9)</f>
        <v>5</v>
      </c>
      <c r="C14" s="53" t="s">
        <v>7</v>
      </c>
      <c r="D14" s="71" t="s">
        <v>16</v>
      </c>
      <c r="E14" s="67" t="s">
        <v>55</v>
      </c>
      <c r="F14" s="61" t="s">
        <v>98</v>
      </c>
      <c r="G14" s="67" t="s">
        <v>128</v>
      </c>
      <c r="H14" s="61" t="s">
        <v>157</v>
      </c>
      <c r="I14" s="61" t="s">
        <v>229</v>
      </c>
      <c r="J14" s="61" t="s">
        <v>174</v>
      </c>
      <c r="K14" s="68" t="s">
        <v>189</v>
      </c>
      <c r="L14" s="61">
        <v>2</v>
      </c>
      <c r="M14" s="61">
        <f t="shared" si="1"/>
        <v>40</v>
      </c>
      <c r="N14" s="61">
        <v>45</v>
      </c>
      <c r="O14" s="69" t="s">
        <v>227</v>
      </c>
      <c r="P14" s="70">
        <v>1.5225</v>
      </c>
      <c r="Q14" s="70">
        <f t="shared" si="2"/>
        <v>68.512500000000003</v>
      </c>
      <c r="R14" s="67"/>
      <c r="S14" s="70"/>
    </row>
    <row r="15" spans="1:19" ht="36.75" thickBot="1" x14ac:dyDescent="0.3">
      <c r="A15" s="1"/>
      <c r="B15" s="37">
        <f>ROW(B15) - ROW($B$9)</f>
        <v>6</v>
      </c>
      <c r="C15" s="52" t="s">
        <v>7</v>
      </c>
      <c r="D15" s="72" t="s">
        <v>266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267</v>
      </c>
      <c r="J15" s="45" t="s">
        <v>268</v>
      </c>
      <c r="K15" s="58" t="s">
        <v>190</v>
      </c>
      <c r="L15" s="59">
        <v>16</v>
      </c>
      <c r="M15" s="45">
        <f t="shared" si="1"/>
        <v>320</v>
      </c>
      <c r="N15" s="45">
        <v>400</v>
      </c>
      <c r="O15" s="62" t="s">
        <v>227</v>
      </c>
      <c r="P15" s="47">
        <v>2.3999999999999998E-3</v>
      </c>
      <c r="Q15" s="47">
        <f t="shared" si="2"/>
        <v>0.96</v>
      </c>
      <c r="R15" s="46"/>
      <c r="S15" s="47"/>
    </row>
    <row r="16" spans="1:19" ht="15.75" thickBot="1" x14ac:dyDescent="0.3">
      <c r="A16" s="1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250</v>
      </c>
      <c r="K16" s="68" t="s">
        <v>191</v>
      </c>
      <c r="L16" s="61">
        <v>1</v>
      </c>
      <c r="M16" s="61">
        <f t="shared" si="1"/>
        <v>20</v>
      </c>
      <c r="N16" s="61">
        <v>30</v>
      </c>
      <c r="O16" s="69" t="s">
        <v>227</v>
      </c>
      <c r="P16" s="70">
        <v>3.3500000000000002E-2</v>
      </c>
      <c r="Q16" s="70">
        <f t="shared" si="2"/>
        <v>1.0050000000000001</v>
      </c>
      <c r="R16" s="67"/>
      <c r="S16" s="70"/>
    </row>
    <row r="17" spans="1:19" ht="15.75" thickBot="1" x14ac:dyDescent="0.3">
      <c r="A17" s="1"/>
      <c r="B17" s="37">
        <f>ROW(B17) - ROW($B$9)</f>
        <v>8</v>
      </c>
      <c r="C17" s="52" t="s">
        <v>7</v>
      </c>
      <c r="D17" s="72" t="s">
        <v>18</v>
      </c>
      <c r="E17" s="45" t="s">
        <v>58</v>
      </c>
      <c r="F17" s="45" t="s">
        <v>96</v>
      </c>
      <c r="G17" s="46" t="s">
        <v>131</v>
      </c>
      <c r="H17" s="45" t="s">
        <v>155</v>
      </c>
      <c r="I17" s="45" t="s">
        <v>229</v>
      </c>
      <c r="J17" s="45" t="s">
        <v>251</v>
      </c>
      <c r="K17" s="58" t="s">
        <v>192</v>
      </c>
      <c r="L17" s="59">
        <v>6</v>
      </c>
      <c r="M17" s="45">
        <f t="shared" si="1"/>
        <v>120</v>
      </c>
      <c r="N17" s="45">
        <v>200</v>
      </c>
      <c r="O17" s="62" t="s">
        <v>227</v>
      </c>
      <c r="P17" s="47">
        <v>2.7000000000000001E-3</v>
      </c>
      <c r="Q17" s="47">
        <f t="shared" si="2"/>
        <v>0.54</v>
      </c>
      <c r="R17" s="46"/>
      <c r="S17" s="47"/>
    </row>
    <row r="18" spans="1:19" ht="15.75" thickBot="1" x14ac:dyDescent="0.3">
      <c r="A18" s="1"/>
      <c r="B18" s="37">
        <f>ROW(B18) - ROW($B$9)</f>
        <v>9</v>
      </c>
      <c r="C18" s="53" t="s">
        <v>7</v>
      </c>
      <c r="D18" s="71" t="s">
        <v>263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269</v>
      </c>
      <c r="J18" s="61" t="s">
        <v>270</v>
      </c>
      <c r="K18" s="68" t="s">
        <v>193</v>
      </c>
      <c r="L18" s="61">
        <v>7</v>
      </c>
      <c r="M18" s="61">
        <f>L18*20</f>
        <v>140</v>
      </c>
      <c r="N18" s="61">
        <v>160</v>
      </c>
      <c r="O18" s="69" t="s">
        <v>227</v>
      </c>
      <c r="P18" s="70">
        <v>2.46E-2</v>
      </c>
      <c r="Q18" s="70">
        <f>P18*N18</f>
        <v>3.9359999999999999</v>
      </c>
      <c r="R18" s="67"/>
      <c r="S18" s="70"/>
    </row>
    <row r="19" spans="1:19" ht="15.75" thickBot="1" x14ac:dyDescent="0.3">
      <c r="A19" s="1"/>
      <c r="B19" s="37">
        <f>ROW(B19) - ROW($B$9)</f>
        <v>10</v>
      </c>
      <c r="C19" s="52" t="s">
        <v>7</v>
      </c>
      <c r="D19" s="72" t="s">
        <v>19</v>
      </c>
      <c r="E19" s="45" t="s">
        <v>60</v>
      </c>
      <c r="F19" s="45" t="s">
        <v>95</v>
      </c>
      <c r="G19" s="46" t="s">
        <v>132</v>
      </c>
      <c r="H19" s="45" t="s">
        <v>155</v>
      </c>
      <c r="I19" s="45" t="s">
        <v>229</v>
      </c>
      <c r="J19" s="45" t="s">
        <v>175</v>
      </c>
      <c r="K19" s="58" t="s">
        <v>194</v>
      </c>
      <c r="L19" s="59">
        <v>4</v>
      </c>
      <c r="M19" s="45">
        <f t="shared" si="1"/>
        <v>80</v>
      </c>
      <c r="N19" s="45">
        <v>100</v>
      </c>
      <c r="O19" s="62" t="s">
        <v>227</v>
      </c>
      <c r="P19" s="47">
        <v>2.5000000000000001E-3</v>
      </c>
      <c r="Q19" s="47">
        <f t="shared" si="2"/>
        <v>0.25</v>
      </c>
      <c r="R19" s="46"/>
      <c r="S19" s="47"/>
    </row>
    <row r="20" spans="1:19" ht="15.75" thickBot="1" x14ac:dyDescent="0.3">
      <c r="A20" s="1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252</v>
      </c>
      <c r="K20" s="68" t="s">
        <v>195</v>
      </c>
      <c r="L20" s="61">
        <v>1</v>
      </c>
      <c r="M20" s="61">
        <f t="shared" si="1"/>
        <v>20</v>
      </c>
      <c r="N20" s="61">
        <v>100</v>
      </c>
      <c r="O20" s="69" t="s">
        <v>227</v>
      </c>
      <c r="P20" s="70">
        <v>3.0999999999999999E-3</v>
      </c>
      <c r="Q20" s="70">
        <f t="shared" si="2"/>
        <v>0.31</v>
      </c>
      <c r="R20" s="67"/>
      <c r="S20" s="70"/>
    </row>
    <row r="21" spans="1:19" ht="24.75" thickBot="1" x14ac:dyDescent="0.3">
      <c r="A21" s="1"/>
      <c r="B21" s="37">
        <f>ROW(B21) - ROW($B$9)</f>
        <v>12</v>
      </c>
      <c r="C21" s="52" t="s">
        <v>7</v>
      </c>
      <c r="D21" s="72" t="s">
        <v>21</v>
      </c>
      <c r="E21" s="45" t="s">
        <v>63</v>
      </c>
      <c r="F21" s="45" t="s">
        <v>95</v>
      </c>
      <c r="G21" s="46" t="s">
        <v>135</v>
      </c>
      <c r="H21" s="45" t="s">
        <v>155</v>
      </c>
      <c r="I21" s="45" t="s">
        <v>229</v>
      </c>
      <c r="J21" s="45" t="s">
        <v>177</v>
      </c>
      <c r="K21" s="58" t="s">
        <v>196</v>
      </c>
      <c r="L21" s="59">
        <v>8</v>
      </c>
      <c r="M21" s="45">
        <f t="shared" si="1"/>
        <v>160</v>
      </c>
      <c r="N21" s="45">
        <v>200</v>
      </c>
      <c r="O21" s="62" t="s">
        <v>227</v>
      </c>
      <c r="P21" s="47">
        <v>2.5000000000000001E-3</v>
      </c>
      <c r="Q21" s="47">
        <f t="shared" si="2"/>
        <v>0.5</v>
      </c>
      <c r="R21" s="46"/>
      <c r="S21" s="47"/>
    </row>
    <row r="22" spans="1:19" ht="24.75" thickBot="1" x14ac:dyDescent="0.3">
      <c r="A22" s="1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1">
        <f t="shared" si="1"/>
        <v>160</v>
      </c>
      <c r="N22" s="61">
        <v>200</v>
      </c>
      <c r="O22" s="69" t="s">
        <v>227</v>
      </c>
      <c r="P22" s="70">
        <v>1E-3</v>
      </c>
      <c r="Q22" s="70">
        <f t="shared" si="2"/>
        <v>0.2</v>
      </c>
      <c r="R22" s="67"/>
      <c r="S22" s="70"/>
    </row>
    <row r="23" spans="1:19" ht="24.75" thickBot="1" x14ac:dyDescent="0.3">
      <c r="A23" s="1"/>
      <c r="B23" s="37">
        <f t="shared" si="0"/>
        <v>14</v>
      </c>
      <c r="C23" s="52" t="s">
        <v>7</v>
      </c>
      <c r="D23" s="72" t="s">
        <v>23</v>
      </c>
      <c r="E23" s="45" t="s">
        <v>65</v>
      </c>
      <c r="F23" s="45" t="s">
        <v>100</v>
      </c>
      <c r="G23" s="46" t="s">
        <v>138</v>
      </c>
      <c r="H23" s="45" t="s">
        <v>158</v>
      </c>
      <c r="I23" s="45" t="s">
        <v>229</v>
      </c>
      <c r="J23" s="45" t="s">
        <v>253</v>
      </c>
      <c r="K23" s="58" t="s">
        <v>193</v>
      </c>
      <c r="L23" s="59">
        <v>8</v>
      </c>
      <c r="M23" s="45">
        <f t="shared" si="1"/>
        <v>160</v>
      </c>
      <c r="N23" s="45">
        <v>170</v>
      </c>
      <c r="O23" s="62" t="s">
        <v>227</v>
      </c>
      <c r="P23" s="47">
        <v>6.7199999999999996E-2</v>
      </c>
      <c r="Q23" s="47">
        <f t="shared" si="2"/>
        <v>11.423999999999999</v>
      </c>
      <c r="R23" s="46"/>
      <c r="S23" s="47"/>
    </row>
    <row r="24" spans="1:19" ht="15.75" thickBot="1" x14ac:dyDescent="0.3">
      <c r="A24" s="1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1">
        <f t="shared" si="1"/>
        <v>80</v>
      </c>
      <c r="N24" s="61">
        <v>100</v>
      </c>
      <c r="O24" s="69" t="s">
        <v>227</v>
      </c>
      <c r="P24" s="70">
        <v>2.4299999999999999E-2</v>
      </c>
      <c r="Q24" s="70">
        <f t="shared" si="2"/>
        <v>2.4299999999999997</v>
      </c>
      <c r="R24" s="67"/>
      <c r="S24" s="70"/>
    </row>
    <row r="25" spans="1:19" ht="24.75" thickBot="1" x14ac:dyDescent="0.3">
      <c r="A25" s="1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45">
        <f t="shared" si="1"/>
        <v>20</v>
      </c>
      <c r="N25" s="45">
        <v>30</v>
      </c>
      <c r="O25" s="62" t="s">
        <v>227</v>
      </c>
      <c r="P25" s="47">
        <v>3.9800000000000002E-2</v>
      </c>
      <c r="Q25" s="47">
        <f t="shared" si="2"/>
        <v>1.194</v>
      </c>
      <c r="R25" s="46"/>
      <c r="S25" s="47"/>
    </row>
    <row r="26" spans="1:19" ht="24.75" thickBot="1" x14ac:dyDescent="0.3">
      <c r="A26" s="1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1">
        <f t="shared" si="1"/>
        <v>20</v>
      </c>
      <c r="N26" s="61">
        <v>30</v>
      </c>
      <c r="O26" s="69" t="s">
        <v>227</v>
      </c>
      <c r="P26" s="70">
        <v>3.1800000000000002E-2</v>
      </c>
      <c r="Q26" s="70">
        <f t="shared" si="2"/>
        <v>0.95400000000000007</v>
      </c>
      <c r="R26" s="67"/>
      <c r="S26" s="70"/>
    </row>
    <row r="27" spans="1:19" ht="15.75" thickBot="1" x14ac:dyDescent="0.3">
      <c r="A27" s="1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45">
        <f t="shared" si="1"/>
        <v>20</v>
      </c>
      <c r="N27" s="45">
        <v>40</v>
      </c>
      <c r="O27" s="62" t="s">
        <v>227</v>
      </c>
      <c r="P27" s="47">
        <v>2.3699999999999999E-2</v>
      </c>
      <c r="Q27" s="47">
        <f t="shared" si="2"/>
        <v>0.94799999999999995</v>
      </c>
      <c r="R27" s="46"/>
      <c r="S27" s="47"/>
    </row>
    <row r="28" spans="1:19" ht="36.75" thickBot="1" x14ac:dyDescent="0.3">
      <c r="A28" s="1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1">
        <f t="shared" si="1"/>
        <v>20</v>
      </c>
      <c r="N28" s="61">
        <v>30</v>
      </c>
      <c r="O28" s="69" t="s">
        <v>227</v>
      </c>
      <c r="P28" s="70">
        <v>5.5599999999999997E-2</v>
      </c>
      <c r="Q28" s="70">
        <f t="shared" si="2"/>
        <v>1.6679999999999999</v>
      </c>
      <c r="R28" s="67"/>
      <c r="S28" s="70"/>
    </row>
    <row r="29" spans="1:19" ht="24.75" thickBot="1" x14ac:dyDescent="0.3">
      <c r="A29" s="1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45">
        <f t="shared" si="1"/>
        <v>160</v>
      </c>
      <c r="N29" s="45">
        <v>180</v>
      </c>
      <c r="O29" s="62" t="s">
        <v>235</v>
      </c>
      <c r="P29" s="47">
        <v>2</v>
      </c>
      <c r="Q29" s="47">
        <f t="shared" si="2"/>
        <v>360</v>
      </c>
      <c r="R29" s="89" t="s">
        <v>274</v>
      </c>
      <c r="S29" s="47"/>
    </row>
    <row r="30" spans="1:19" ht="24.75" thickBot="1" x14ac:dyDescent="0.3">
      <c r="A30" s="1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 t="s">
        <v>229</v>
      </c>
      <c r="J30" s="61" t="s">
        <v>229</v>
      </c>
      <c r="K30" s="68" t="s">
        <v>229</v>
      </c>
      <c r="L30" s="61">
        <v>4</v>
      </c>
      <c r="M30" s="61">
        <f t="shared" si="1"/>
        <v>80</v>
      </c>
      <c r="N30" s="61">
        <v>90</v>
      </c>
      <c r="O30" s="69" t="s">
        <v>235</v>
      </c>
      <c r="P30" s="70">
        <v>2</v>
      </c>
      <c r="Q30" s="70">
        <f t="shared" si="2"/>
        <v>180</v>
      </c>
      <c r="R30" s="95" t="s">
        <v>274</v>
      </c>
      <c r="S30" s="70"/>
    </row>
    <row r="31" spans="1:19" ht="15.75" thickBot="1" x14ac:dyDescent="0.3">
      <c r="A31" s="1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45">
        <f t="shared" si="1"/>
        <v>20</v>
      </c>
      <c r="N31" s="45">
        <v>40</v>
      </c>
      <c r="O31" s="62" t="s">
        <v>227</v>
      </c>
      <c r="P31" s="47">
        <v>2.7300000000000001E-2</v>
      </c>
      <c r="Q31" s="47">
        <f t="shared" si="2"/>
        <v>1.0920000000000001</v>
      </c>
      <c r="R31" s="46"/>
      <c r="S31" s="47"/>
    </row>
    <row r="32" spans="1:19" ht="15.75" thickBot="1" x14ac:dyDescent="0.3">
      <c r="A32" s="1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1">
        <f t="shared" si="1"/>
        <v>100</v>
      </c>
      <c r="N32" s="91" t="s">
        <v>229</v>
      </c>
      <c r="O32" s="93" t="s">
        <v>229</v>
      </c>
      <c r="P32" s="94" t="s">
        <v>229</v>
      </c>
      <c r="Q32" s="94" t="s">
        <v>229</v>
      </c>
      <c r="R32" s="74"/>
      <c r="S32" s="94"/>
    </row>
    <row r="33" spans="1:19" ht="15.75" thickBot="1" x14ac:dyDescent="0.3">
      <c r="A33" s="1"/>
      <c r="B33" s="65">
        <f t="shared" si="0"/>
        <v>24</v>
      </c>
      <c r="C33" s="76" t="s">
        <v>208</v>
      </c>
      <c r="D33" s="77" t="s">
        <v>33</v>
      </c>
      <c r="E33" s="78" t="s">
        <v>75</v>
      </c>
      <c r="F33" s="78" t="s">
        <v>109</v>
      </c>
      <c r="G33" s="73" t="s">
        <v>142</v>
      </c>
      <c r="H33" s="78" t="s">
        <v>162</v>
      </c>
      <c r="I33" s="78" t="s">
        <v>242</v>
      </c>
      <c r="J33" s="78" t="s">
        <v>243</v>
      </c>
      <c r="K33" s="80" t="s">
        <v>197</v>
      </c>
      <c r="L33" s="81">
        <v>3</v>
      </c>
      <c r="M33" s="78">
        <f t="shared" si="1"/>
        <v>60</v>
      </c>
      <c r="N33" s="78">
        <v>100</v>
      </c>
      <c r="O33" s="82" t="s">
        <v>227</v>
      </c>
      <c r="P33" s="83">
        <v>6.9999999999999999E-4</v>
      </c>
      <c r="Q33" s="83">
        <f t="shared" si="2"/>
        <v>6.9999999999999993E-2</v>
      </c>
      <c r="R33" s="79"/>
      <c r="S33" s="83"/>
    </row>
    <row r="34" spans="1:19" ht="15.75" thickBot="1" x14ac:dyDescent="0.3">
      <c r="A34" s="1"/>
      <c r="B34" s="37">
        <f>ROW(B34) - ROW($B$9)</f>
        <v>25</v>
      </c>
      <c r="C34" s="53" t="s">
        <v>208</v>
      </c>
      <c r="D34" s="71" t="s">
        <v>34</v>
      </c>
      <c r="E34" s="67" t="s">
        <v>76</v>
      </c>
      <c r="F34" s="61" t="s">
        <v>110</v>
      </c>
      <c r="G34" s="67" t="s">
        <v>143</v>
      </c>
      <c r="H34" s="61" t="s">
        <v>155</v>
      </c>
      <c r="I34" s="61" t="s">
        <v>229</v>
      </c>
      <c r="J34" s="61" t="s">
        <v>254</v>
      </c>
      <c r="K34" s="68" t="s">
        <v>198</v>
      </c>
      <c r="L34" s="61">
        <v>8</v>
      </c>
      <c r="M34" s="61">
        <f t="shared" si="1"/>
        <v>160</v>
      </c>
      <c r="N34" s="61">
        <v>200</v>
      </c>
      <c r="O34" s="69" t="s">
        <v>227</v>
      </c>
      <c r="P34" s="70">
        <v>1.1000000000000001E-3</v>
      </c>
      <c r="Q34" s="70">
        <f t="shared" si="2"/>
        <v>0.22</v>
      </c>
      <c r="R34" s="67"/>
      <c r="S34" s="70"/>
    </row>
    <row r="35" spans="1:19" ht="15.75" thickBot="1" x14ac:dyDescent="0.3">
      <c r="A35" s="1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246</v>
      </c>
      <c r="K35" s="58" t="s">
        <v>199</v>
      </c>
      <c r="L35" s="59">
        <v>3</v>
      </c>
      <c r="M35" s="45">
        <f t="shared" si="1"/>
        <v>60</v>
      </c>
      <c r="N35" s="45">
        <v>100</v>
      </c>
      <c r="O35" s="62" t="s">
        <v>227</v>
      </c>
      <c r="P35" s="47">
        <v>1E-3</v>
      </c>
      <c r="Q35" s="47">
        <f t="shared" si="2"/>
        <v>0.1</v>
      </c>
      <c r="R35" s="46"/>
      <c r="S35" s="47"/>
    </row>
    <row r="36" spans="1:19" ht="24.75" thickBot="1" x14ac:dyDescent="0.3">
      <c r="A36" s="1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1">
        <f t="shared" si="1"/>
        <v>200</v>
      </c>
      <c r="N36" s="61">
        <v>300</v>
      </c>
      <c r="O36" s="69" t="s">
        <v>227</v>
      </c>
      <c r="P36" s="70">
        <v>8.9999999999999998E-4</v>
      </c>
      <c r="Q36" s="70">
        <f t="shared" si="2"/>
        <v>0.27</v>
      </c>
      <c r="R36" s="67"/>
      <c r="S36" s="70"/>
    </row>
    <row r="37" spans="1:19" ht="15.75" thickBot="1" x14ac:dyDescent="0.3">
      <c r="A37" s="1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247</v>
      </c>
      <c r="K37" s="58" t="s">
        <v>201</v>
      </c>
      <c r="L37" s="59">
        <v>2</v>
      </c>
      <c r="M37" s="45">
        <f t="shared" si="1"/>
        <v>40</v>
      </c>
      <c r="N37" s="45">
        <v>100</v>
      </c>
      <c r="O37" s="62" t="s">
        <v>227</v>
      </c>
      <c r="P37" s="47">
        <v>1E-3</v>
      </c>
      <c r="Q37" s="47">
        <f t="shared" si="2"/>
        <v>0.1</v>
      </c>
      <c r="R37" s="46"/>
      <c r="S37" s="47"/>
    </row>
    <row r="38" spans="1:19" ht="36.75" thickBot="1" x14ac:dyDescent="0.3">
      <c r="A38" s="1"/>
      <c r="B38" s="37">
        <f>ROW(B38) - ROW($B$9)</f>
        <v>29</v>
      </c>
      <c r="C38" s="53" t="s">
        <v>208</v>
      </c>
      <c r="D38" s="71" t="s">
        <v>264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17</v>
      </c>
      <c r="M38" s="61">
        <f t="shared" si="1"/>
        <v>340</v>
      </c>
      <c r="N38" s="61">
        <v>400</v>
      </c>
      <c r="O38" s="69" t="s">
        <v>227</v>
      </c>
      <c r="P38" s="70">
        <v>5.9999999999999995E-4</v>
      </c>
      <c r="Q38" s="70">
        <f t="shared" si="2"/>
        <v>0.24</v>
      </c>
      <c r="R38" s="67"/>
      <c r="S38" s="70"/>
    </row>
    <row r="39" spans="1:19" ht="15.75" thickBot="1" x14ac:dyDescent="0.3">
      <c r="A39" s="1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255</v>
      </c>
      <c r="K39" s="58" t="s">
        <v>203</v>
      </c>
      <c r="L39" s="59">
        <v>4</v>
      </c>
      <c r="M39" s="45">
        <f t="shared" si="1"/>
        <v>80</v>
      </c>
      <c r="N39" s="45">
        <v>100</v>
      </c>
      <c r="O39" s="62" t="s">
        <v>227</v>
      </c>
      <c r="P39" s="47">
        <v>1.2999999999999999E-3</v>
      </c>
      <c r="Q39" s="47">
        <f t="shared" si="2"/>
        <v>0.13</v>
      </c>
      <c r="R39" s="46"/>
      <c r="S39" s="47"/>
    </row>
    <row r="40" spans="1:19" s="64" customFormat="1" ht="256.5" customHeight="1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2120</v>
      </c>
      <c r="N40" s="91" t="s">
        <v>229</v>
      </c>
      <c r="O40" s="93" t="s">
        <v>229</v>
      </c>
      <c r="P40" s="94" t="s">
        <v>229</v>
      </c>
      <c r="Q40" s="94" t="s">
        <v>229</v>
      </c>
      <c r="R40" s="74"/>
      <c r="S40" s="94"/>
    </row>
    <row r="41" spans="1:19" ht="36.75" thickBot="1" x14ac:dyDescent="0.3">
      <c r="A41" s="1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282</v>
      </c>
      <c r="K41" s="58" t="s">
        <v>229</v>
      </c>
      <c r="L41" s="59">
        <v>1</v>
      </c>
      <c r="M41" s="45">
        <f t="shared" si="1"/>
        <v>20</v>
      </c>
      <c r="N41" s="45">
        <v>30</v>
      </c>
      <c r="O41" s="62" t="s">
        <v>227</v>
      </c>
      <c r="P41" s="47">
        <v>5.7599999999999998E-2</v>
      </c>
      <c r="Q41" s="47">
        <f t="shared" si="2"/>
        <v>1.728</v>
      </c>
      <c r="R41" s="89"/>
      <c r="S41" s="47"/>
    </row>
    <row r="42" spans="1:19" ht="15.75" thickBot="1" x14ac:dyDescent="0.3">
      <c r="A42" s="1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183</v>
      </c>
      <c r="K42" s="68" t="s">
        <v>229</v>
      </c>
      <c r="L42" s="61">
        <v>1</v>
      </c>
      <c r="M42" s="61">
        <f t="shared" si="1"/>
        <v>20</v>
      </c>
      <c r="N42" s="61">
        <v>22</v>
      </c>
      <c r="O42" s="69" t="s">
        <v>227</v>
      </c>
      <c r="P42" s="70">
        <v>3.99</v>
      </c>
      <c r="Q42" s="70">
        <f t="shared" si="2"/>
        <v>87.78</v>
      </c>
      <c r="R42" s="67"/>
      <c r="S42" s="70"/>
    </row>
    <row r="43" spans="1:19" ht="15.75" thickBot="1" x14ac:dyDescent="0.3">
      <c r="A43" s="1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/>
      <c r="J43" s="45" t="s">
        <v>184</v>
      </c>
      <c r="K43" s="58" t="s">
        <v>229</v>
      </c>
      <c r="L43" s="59">
        <v>8</v>
      </c>
      <c r="M43" s="45">
        <f t="shared" si="1"/>
        <v>160</v>
      </c>
      <c r="N43" s="45">
        <v>165</v>
      </c>
      <c r="O43" s="62" t="s">
        <v>227</v>
      </c>
      <c r="P43" s="47">
        <v>3.6194000000000002</v>
      </c>
      <c r="Q43" s="47">
        <f t="shared" si="2"/>
        <v>597.20100000000002</v>
      </c>
      <c r="R43" s="46"/>
      <c r="S43" s="47"/>
    </row>
    <row r="44" spans="1:19" ht="24.75" thickBot="1" x14ac:dyDescent="0.3">
      <c r="A44" s="1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256</v>
      </c>
      <c r="K44" s="68" t="s">
        <v>229</v>
      </c>
      <c r="L44" s="61">
        <v>1</v>
      </c>
      <c r="M44" s="61">
        <f t="shared" si="1"/>
        <v>20</v>
      </c>
      <c r="N44" s="61">
        <v>22</v>
      </c>
      <c r="O44" s="69" t="s">
        <v>227</v>
      </c>
      <c r="P44" s="70">
        <v>0.42</v>
      </c>
      <c r="Q44" s="70">
        <f t="shared" si="2"/>
        <v>9.24</v>
      </c>
      <c r="R44" s="67"/>
      <c r="S44" s="70"/>
    </row>
    <row r="45" spans="1:19" ht="24.75" thickBot="1" x14ac:dyDescent="0.3">
      <c r="A45" s="1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 t="s">
        <v>229</v>
      </c>
      <c r="J45" s="45" t="s">
        <v>229</v>
      </c>
      <c r="K45" s="58" t="s">
        <v>229</v>
      </c>
      <c r="L45" s="59">
        <v>1</v>
      </c>
      <c r="M45" s="45">
        <f t="shared" si="1"/>
        <v>20</v>
      </c>
      <c r="N45" s="45">
        <v>22</v>
      </c>
      <c r="O45" s="62" t="s">
        <v>235</v>
      </c>
      <c r="P45" s="47">
        <v>12.6</v>
      </c>
      <c r="Q45" s="47">
        <f t="shared" si="2"/>
        <v>277.2</v>
      </c>
      <c r="R45" s="89" t="s">
        <v>274</v>
      </c>
      <c r="S45" s="47"/>
    </row>
    <row r="46" spans="1:19" ht="15.75" thickBot="1" x14ac:dyDescent="0.3">
      <c r="A46" s="1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244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1">
        <f t="shared" si="1"/>
        <v>40</v>
      </c>
      <c r="N46" s="61">
        <v>42</v>
      </c>
      <c r="O46" s="69" t="s">
        <v>227</v>
      </c>
      <c r="P46" s="70">
        <v>3.2374999999999998</v>
      </c>
      <c r="Q46" s="70">
        <f t="shared" si="2"/>
        <v>135.97499999999999</v>
      </c>
      <c r="R46" s="67"/>
      <c r="S46" s="70"/>
    </row>
    <row r="47" spans="1:19" ht="36.75" thickBot="1" x14ac:dyDescent="0.3">
      <c r="A47" s="1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245</v>
      </c>
      <c r="G47" s="73" t="s">
        <v>119</v>
      </c>
      <c r="H47" s="45" t="s">
        <v>168</v>
      </c>
      <c r="I47" s="45" t="s">
        <v>281</v>
      </c>
      <c r="J47" s="45" t="s">
        <v>280</v>
      </c>
      <c r="K47" s="58" t="s">
        <v>229</v>
      </c>
      <c r="L47" s="59">
        <v>1</v>
      </c>
      <c r="M47" s="45">
        <f t="shared" si="1"/>
        <v>20</v>
      </c>
      <c r="N47" s="45">
        <v>25</v>
      </c>
      <c r="O47" s="62" t="s">
        <v>227</v>
      </c>
      <c r="P47" s="47">
        <v>0.10639999999999999</v>
      </c>
      <c r="Q47" s="47">
        <f t="shared" si="2"/>
        <v>2.6599999999999997</v>
      </c>
      <c r="R47" s="46"/>
      <c r="S47" s="47"/>
    </row>
    <row r="48" spans="1:19" ht="24.75" thickBot="1" x14ac:dyDescent="0.3">
      <c r="A48" s="1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 t="s">
        <v>229</v>
      </c>
      <c r="K48" s="68" t="s">
        <v>229</v>
      </c>
      <c r="L48" s="61">
        <v>1</v>
      </c>
      <c r="M48" s="61">
        <f t="shared" si="1"/>
        <v>20</v>
      </c>
      <c r="N48" s="61">
        <v>22</v>
      </c>
      <c r="O48" s="69" t="s">
        <v>235</v>
      </c>
      <c r="P48" s="70">
        <v>7.3</v>
      </c>
      <c r="Q48" s="70">
        <f t="shared" si="2"/>
        <v>160.6</v>
      </c>
      <c r="R48" s="95" t="s">
        <v>274</v>
      </c>
      <c r="S48" s="70"/>
    </row>
    <row r="49" spans="1:19" ht="24.75" thickBot="1" x14ac:dyDescent="0.3">
      <c r="A49" s="1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 t="s">
        <v>229</v>
      </c>
      <c r="K49" s="58" t="s">
        <v>229</v>
      </c>
      <c r="L49" s="59">
        <v>4</v>
      </c>
      <c r="M49" s="45">
        <f t="shared" si="1"/>
        <v>80</v>
      </c>
      <c r="N49" s="45">
        <v>82</v>
      </c>
      <c r="O49" s="62" t="s">
        <v>235</v>
      </c>
      <c r="P49" s="47">
        <v>4.2</v>
      </c>
      <c r="Q49" s="47">
        <f t="shared" si="2"/>
        <v>344.40000000000003</v>
      </c>
      <c r="R49" s="89" t="s">
        <v>274</v>
      </c>
      <c r="S49" s="47"/>
    </row>
    <row r="50" spans="1:19" ht="36.75" thickBot="1" x14ac:dyDescent="0.3">
      <c r="A50" s="1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238</v>
      </c>
      <c r="K50" s="68" t="s">
        <v>239</v>
      </c>
      <c r="L50" s="61">
        <v>1</v>
      </c>
      <c r="M50" s="61">
        <f t="shared" si="1"/>
        <v>20</v>
      </c>
      <c r="N50" s="61">
        <v>22</v>
      </c>
      <c r="O50" s="69" t="s">
        <v>227</v>
      </c>
      <c r="P50" s="70">
        <v>0.15179999999999999</v>
      </c>
      <c r="Q50" s="70">
        <f t="shared" si="2"/>
        <v>3.3395999999999999</v>
      </c>
      <c r="R50" s="67"/>
      <c r="S50" s="70"/>
    </row>
    <row r="51" spans="1:19" ht="36.75" thickBot="1" x14ac:dyDescent="0.3">
      <c r="A51" s="1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240</v>
      </c>
      <c r="K51" s="58" t="s">
        <v>241</v>
      </c>
      <c r="L51" s="75">
        <v>2</v>
      </c>
      <c r="M51" s="45">
        <f t="shared" si="1"/>
        <v>40</v>
      </c>
      <c r="N51" s="45">
        <v>45</v>
      </c>
      <c r="O51" s="62" t="s">
        <v>227</v>
      </c>
      <c r="P51" s="47">
        <v>7.4099999999999999E-2</v>
      </c>
      <c r="Q51" s="47">
        <f t="shared" si="2"/>
        <v>3.3344999999999998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6" t="s">
        <v>221</v>
      </c>
      <c r="O52" s="107"/>
      <c r="P52" s="107"/>
      <c r="Q52" s="56">
        <f>SUM(Q10:Q51)</f>
        <v>2277.9625999999998</v>
      </c>
      <c r="R52" s="102"/>
      <c r="S52" s="103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6" t="s">
        <v>222</v>
      </c>
      <c r="O53" s="107"/>
      <c r="P53" s="107"/>
      <c r="Q53" s="57">
        <f>Q52/20</f>
        <v>113.89812999999999</v>
      </c>
      <c r="R53" s="104"/>
      <c r="S53" s="105"/>
    </row>
  </sheetData>
  <mergeCells count="5">
    <mergeCell ref="K1:S1"/>
    <mergeCell ref="S3:S8"/>
    <mergeCell ref="R52:S53"/>
    <mergeCell ref="N52:P52"/>
    <mergeCell ref="N53:P53"/>
  </mergeCells>
  <hyperlinks>
    <hyperlink ref="O14" r:id="rId1" xr:uid="{736BD189-760A-4B09-A3F6-F664DCC7E819}"/>
    <hyperlink ref="O25" r:id="rId2" xr:uid="{1F81CF20-471E-4E25-91A1-ACADE372D7F1}"/>
    <hyperlink ref="O26" r:id="rId3" xr:uid="{1FFF2F14-D016-403D-B7DE-3461C5CEE3CC}"/>
    <hyperlink ref="O28" r:id="rId4" xr:uid="{A67D8B75-ADCA-454A-90A2-7B3827ED99FF}"/>
    <hyperlink ref="O31" r:id="rId5" xr:uid="{2156ACCA-5D51-4A13-B679-1A5F84AF210C}"/>
    <hyperlink ref="O46" r:id="rId6" xr:uid="{E3681D50-BCF6-45BF-92E2-FA79AE9F7F63}"/>
    <hyperlink ref="O33" r:id="rId7" xr:uid="{708B72BB-8155-435C-A98A-443BAD0793CE}"/>
    <hyperlink ref="O42" r:id="rId8" xr:uid="{5A47B33C-2078-42A0-97CB-FDA2AEFAD03A}"/>
    <hyperlink ref="O37" r:id="rId9" xr:uid="{69A12946-F47E-4DFE-985E-8D4693A7CC10}"/>
    <hyperlink ref="O10" r:id="rId10" xr:uid="{8FDB36E3-3359-4086-A00B-9B44E30AE660}"/>
    <hyperlink ref="O11" r:id="rId11" xr:uid="{3348A2EA-3BD0-47EE-8D96-64F7519EA682}"/>
    <hyperlink ref="O13" r:id="rId12" xr:uid="{F6C212B2-15D4-464A-A620-9DC42777AB26}"/>
    <hyperlink ref="O16" r:id="rId13" xr:uid="{6C5E3693-5C77-457F-8D07-198366E2398D}"/>
    <hyperlink ref="O17" r:id="rId14" xr:uid="{53C23FF1-FE99-4B67-B6FF-04B3CB1B9110}"/>
    <hyperlink ref="O19" r:id="rId15" xr:uid="{7B46B2C0-14AE-4B4E-805C-D393B1A50D70}"/>
    <hyperlink ref="O12" r:id="rId16" xr:uid="{382FF0FA-7010-4BD6-B83E-B24898DEAFC2}"/>
    <hyperlink ref="O20" r:id="rId17" xr:uid="{AE531983-D06C-4C60-B45D-E4544B04C394}"/>
    <hyperlink ref="O21" r:id="rId18" xr:uid="{45297EE2-EE7D-4B4F-A3C8-9A5E031EF4B4}"/>
    <hyperlink ref="O22" r:id="rId19" xr:uid="{0DAF9DCD-55F7-4DC6-A56C-F28831022179}"/>
    <hyperlink ref="O23" r:id="rId20" xr:uid="{175B306F-E9B1-4F1E-AD1F-3E90011CB1AA}"/>
    <hyperlink ref="O24" r:id="rId21" xr:uid="{1681AD64-2563-48EE-8A92-950CAE9B7331}"/>
    <hyperlink ref="O27" r:id="rId22" xr:uid="{B770F765-5335-487F-9967-272DD1C9A2E1}"/>
    <hyperlink ref="O34" r:id="rId23" xr:uid="{0D74FD7F-A6AB-421A-8F10-7C11981AF05F}"/>
    <hyperlink ref="O35" r:id="rId24" xr:uid="{57959F40-302E-4C7E-BCCB-DC9E117DC9C9}"/>
    <hyperlink ref="O36" r:id="rId25" xr:uid="{6D489768-7C07-4E89-B8C4-B27785A5ACC4}"/>
    <hyperlink ref="O38" r:id="rId26" xr:uid="{421CEA32-ED48-4D99-ADE3-24AC8291EFF0}"/>
    <hyperlink ref="O39" r:id="rId27" xr:uid="{8AD47C0D-DD20-446B-99FD-D1C94B901710}"/>
    <hyperlink ref="O43" r:id="rId28" xr:uid="{39F5D6FC-B79E-4A23-A4F5-F94AE19CCF54}"/>
    <hyperlink ref="O44" r:id="rId29" xr:uid="{26F56D36-5160-4F93-B0FE-BA5D7F279576}"/>
    <hyperlink ref="O50" r:id="rId30" xr:uid="{0141DE74-1F28-4DA9-B73A-7BD298437E30}"/>
    <hyperlink ref="O51" r:id="rId31" xr:uid="{71472283-ADCE-419D-B345-3F78D4C9B4A1}"/>
    <hyperlink ref="O15" r:id="rId32" xr:uid="{386A98B2-E463-46C3-98CA-031EE3ACAF7E}"/>
    <hyperlink ref="O18" r:id="rId33" xr:uid="{3F640406-EF82-415C-B941-ACDE17CD6FD1}"/>
    <hyperlink ref="O41" r:id="rId34" xr:uid="{43DD3F14-DD7D-4C17-951A-197F63191CA8}"/>
    <hyperlink ref="O47" r:id="rId35" xr:uid="{E0D66AE9-7350-447C-A855-132FBE78F6D3}"/>
  </hyperlinks>
  <pageMargins left="0.7" right="0.7" top="0.75" bottom="0.75" header="0.3" footer="0.3"/>
  <pageSetup paperSize="9" orientation="portrait" r:id="rId36"/>
  <drawing r:id="rId3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0A4D2-3D39-4CFF-92FF-477EAC1CAE20}">
  <dimension ref="A1:S53"/>
  <sheetViews>
    <sheetView tabSelected="1" topLeftCell="A41" workbookViewId="0">
      <selection activeCell="G58" sqref="G58"/>
    </sheetView>
  </sheetViews>
  <sheetFormatPr defaultRowHeight="15" x14ac:dyDescent="0.25"/>
  <cols>
    <col min="2" max="2" width="3" bestFit="1" customWidth="1"/>
    <col min="3" max="3" width="12.5703125" customWidth="1"/>
    <col min="4" max="4" width="34.85546875" customWidth="1"/>
    <col min="5" max="5" width="27.140625" customWidth="1"/>
    <col min="6" max="6" width="21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5.710937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8"/>
      <c r="L1" s="98"/>
      <c r="M1" s="98"/>
      <c r="N1" s="98"/>
      <c r="O1" s="98"/>
      <c r="P1" s="98"/>
      <c r="Q1" s="98"/>
      <c r="R1" s="98"/>
      <c r="S1" s="99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0"/>
    </row>
    <row r="4" spans="1:19" x14ac:dyDescent="0.25">
      <c r="A4" s="1"/>
      <c r="B4" s="22"/>
      <c r="C4" s="39"/>
      <c r="D4" s="13" t="s">
        <v>2</v>
      </c>
      <c r="E4" s="13"/>
      <c r="F4" s="50" t="s">
        <v>258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1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1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1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1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1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1" t="s">
        <v>204</v>
      </c>
      <c r="M9" s="30" t="s">
        <v>259</v>
      </c>
      <c r="N9" s="31" t="s">
        <v>260</v>
      </c>
      <c r="O9" s="30" t="s">
        <v>216</v>
      </c>
      <c r="P9" s="31" t="s">
        <v>261</v>
      </c>
      <c r="Q9" s="30" t="s">
        <v>262</v>
      </c>
      <c r="R9" s="31" t="s">
        <v>219</v>
      </c>
      <c r="S9" s="30" t="s">
        <v>220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L10*1000</f>
        <v>20000</v>
      </c>
      <c r="N10" s="61">
        <v>20100</v>
      </c>
      <c r="O10" s="69" t="s">
        <v>227</v>
      </c>
      <c r="P10" s="70">
        <v>1.41E-2</v>
      </c>
      <c r="Q10" s="70">
        <f>P10*N10</f>
        <v>283.40999999999997</v>
      </c>
      <c r="R10" s="67"/>
      <c r="S10" s="70"/>
    </row>
    <row r="11" spans="1:19" s="64" customFormat="1" ht="15.75" thickBot="1" x14ac:dyDescent="0.3">
      <c r="A11" s="63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248</v>
      </c>
      <c r="K11" s="58" t="s">
        <v>186</v>
      </c>
      <c r="L11" s="59">
        <v>1</v>
      </c>
      <c r="M11" s="58">
        <f t="shared" ref="M11:M51" si="1">L11*1000</f>
        <v>1000</v>
      </c>
      <c r="N11" s="45">
        <v>1040</v>
      </c>
      <c r="O11" s="62" t="s">
        <v>227</v>
      </c>
      <c r="P11" s="47">
        <v>1.21E-2</v>
      </c>
      <c r="Q11" s="47">
        <f t="shared" ref="Q11:Q24" si="2">P11*N11</f>
        <v>12.584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265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 t="s">
        <v>229</v>
      </c>
      <c r="J12" s="61" t="s">
        <v>176</v>
      </c>
      <c r="K12" s="68" t="s">
        <v>187</v>
      </c>
      <c r="L12" s="61">
        <v>43</v>
      </c>
      <c r="M12" s="68">
        <f t="shared" si="1"/>
        <v>43000</v>
      </c>
      <c r="N12" s="61">
        <v>43100</v>
      </c>
      <c r="O12" s="69" t="s">
        <v>227</v>
      </c>
      <c r="P12" s="70">
        <v>5.4000000000000003E-3</v>
      </c>
      <c r="Q12" s="70">
        <f>P12*N12</f>
        <v>232.74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249</v>
      </c>
      <c r="K13" s="58" t="s">
        <v>188</v>
      </c>
      <c r="L13" s="59">
        <v>12</v>
      </c>
      <c r="M13" s="58">
        <f t="shared" si="1"/>
        <v>12000</v>
      </c>
      <c r="N13" s="45">
        <v>12100</v>
      </c>
      <c r="O13" s="62" t="s">
        <v>227</v>
      </c>
      <c r="P13" s="47">
        <v>1.6000000000000001E-3</v>
      </c>
      <c r="Q13" s="47">
        <f t="shared" si="2"/>
        <v>19.36</v>
      </c>
      <c r="R13" s="46"/>
      <c r="S13" s="47"/>
    </row>
    <row r="14" spans="1:19" ht="15.75" thickBot="1" x14ac:dyDescent="0.3">
      <c r="A14" s="1"/>
      <c r="B14" s="65">
        <f>ROW(B14) - ROW($B$9)</f>
        <v>5</v>
      </c>
      <c r="C14" s="54" t="s">
        <v>7</v>
      </c>
      <c r="D14" s="84" t="s">
        <v>16</v>
      </c>
      <c r="E14" s="85" t="s">
        <v>55</v>
      </c>
      <c r="F14" s="66" t="s">
        <v>98</v>
      </c>
      <c r="G14" s="85" t="s">
        <v>128</v>
      </c>
      <c r="H14" s="66" t="s">
        <v>157</v>
      </c>
      <c r="I14" s="66" t="s">
        <v>229</v>
      </c>
      <c r="J14" s="66" t="s">
        <v>174</v>
      </c>
      <c r="K14" s="86" t="s">
        <v>189</v>
      </c>
      <c r="L14" s="66">
        <v>2</v>
      </c>
      <c r="M14" s="86">
        <f t="shared" si="1"/>
        <v>2000</v>
      </c>
      <c r="N14" s="66">
        <v>2020</v>
      </c>
      <c r="O14" s="87" t="s">
        <v>227</v>
      </c>
      <c r="P14" s="88">
        <v>1.1661999999999999</v>
      </c>
      <c r="Q14" s="88">
        <f t="shared" si="2"/>
        <v>2355.7239999999997</v>
      </c>
      <c r="R14" s="85"/>
      <c r="S14" s="88"/>
    </row>
    <row r="15" spans="1:19" s="64" customFormat="1" ht="24.75" thickBot="1" x14ac:dyDescent="0.3">
      <c r="A15" s="63"/>
      <c r="B15" s="37">
        <f t="shared" si="0"/>
        <v>6</v>
      </c>
      <c r="C15" s="52" t="s">
        <v>7</v>
      </c>
      <c r="D15" s="72" t="s">
        <v>266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267</v>
      </c>
      <c r="J15" s="45" t="s">
        <v>268</v>
      </c>
      <c r="K15" s="58" t="s">
        <v>190</v>
      </c>
      <c r="L15" s="59">
        <v>16</v>
      </c>
      <c r="M15" s="58">
        <f t="shared" si="1"/>
        <v>16000</v>
      </c>
      <c r="N15" s="45">
        <v>16100</v>
      </c>
      <c r="O15" s="62" t="s">
        <v>227</v>
      </c>
      <c r="P15" s="47">
        <v>1.4E-3</v>
      </c>
      <c r="Q15" s="47">
        <f t="shared" si="2"/>
        <v>22.54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250</v>
      </c>
      <c r="K16" s="68" t="s">
        <v>191</v>
      </c>
      <c r="L16" s="61">
        <v>1</v>
      </c>
      <c r="M16" s="68">
        <f t="shared" si="1"/>
        <v>1000</v>
      </c>
      <c r="N16" s="61">
        <v>1020</v>
      </c>
      <c r="O16" s="69" t="s">
        <v>227</v>
      </c>
      <c r="P16" s="70">
        <v>2.12E-2</v>
      </c>
      <c r="Q16" s="70">
        <f t="shared" si="2"/>
        <v>21.623999999999999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58</v>
      </c>
      <c r="F17" s="78" t="s">
        <v>96</v>
      </c>
      <c r="G17" s="79" t="s">
        <v>131</v>
      </c>
      <c r="H17" s="78" t="s">
        <v>155</v>
      </c>
      <c r="I17" s="78" t="s">
        <v>229</v>
      </c>
      <c r="J17" s="78" t="s">
        <v>251</v>
      </c>
      <c r="K17" s="80" t="s">
        <v>192</v>
      </c>
      <c r="L17" s="81">
        <v>6</v>
      </c>
      <c r="M17" s="80">
        <f t="shared" si="1"/>
        <v>6000</v>
      </c>
      <c r="N17" s="78">
        <v>6100</v>
      </c>
      <c r="O17" s="82" t="s">
        <v>227</v>
      </c>
      <c r="P17" s="83">
        <v>1.8E-3</v>
      </c>
      <c r="Q17" s="83">
        <f t="shared" si="2"/>
        <v>10.98</v>
      </c>
      <c r="R17" s="79"/>
      <c r="S17" s="83"/>
    </row>
    <row r="18" spans="1:19" s="64" customFormat="1" ht="15.75" thickBot="1" x14ac:dyDescent="0.3">
      <c r="A18" s="63"/>
      <c r="B18" s="37">
        <f t="shared" si="0"/>
        <v>9</v>
      </c>
      <c r="C18" s="53" t="s">
        <v>7</v>
      </c>
      <c r="D18" s="71" t="s">
        <v>263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269</v>
      </c>
      <c r="J18" s="61" t="s">
        <v>270</v>
      </c>
      <c r="K18" s="68" t="s">
        <v>193</v>
      </c>
      <c r="L18" s="61">
        <v>7</v>
      </c>
      <c r="M18" s="68">
        <f t="shared" si="1"/>
        <v>7000</v>
      </c>
      <c r="N18" s="61">
        <v>7100</v>
      </c>
      <c r="O18" s="69" t="s">
        <v>227</v>
      </c>
      <c r="P18" s="70">
        <v>2.3800000000000002E-2</v>
      </c>
      <c r="Q18" s="70">
        <f>P18*N18</f>
        <v>168.98000000000002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60</v>
      </c>
      <c r="F19" s="78" t="s">
        <v>95</v>
      </c>
      <c r="G19" s="79" t="s">
        <v>132</v>
      </c>
      <c r="H19" s="78" t="s">
        <v>155</v>
      </c>
      <c r="I19" s="78" t="s">
        <v>229</v>
      </c>
      <c r="J19" s="78" t="s">
        <v>175</v>
      </c>
      <c r="K19" s="80" t="s">
        <v>194</v>
      </c>
      <c r="L19" s="81">
        <v>4</v>
      </c>
      <c r="M19" s="80">
        <f t="shared" si="1"/>
        <v>4000</v>
      </c>
      <c r="N19" s="78">
        <v>4100</v>
      </c>
      <c r="O19" s="82" t="s">
        <v>227</v>
      </c>
      <c r="P19" s="83">
        <v>1.6999999999999999E-3</v>
      </c>
      <c r="Q19" s="83">
        <f t="shared" si="2"/>
        <v>6.97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252</v>
      </c>
      <c r="K20" s="68" t="s">
        <v>195</v>
      </c>
      <c r="L20" s="61">
        <v>1</v>
      </c>
      <c r="M20" s="68">
        <f t="shared" si="1"/>
        <v>1000</v>
      </c>
      <c r="N20" s="61">
        <v>1100</v>
      </c>
      <c r="O20" s="69" t="s">
        <v>227</v>
      </c>
      <c r="P20" s="70">
        <v>2.5000000000000001E-3</v>
      </c>
      <c r="Q20" s="70">
        <f t="shared" si="2"/>
        <v>2.75</v>
      </c>
      <c r="R20" s="67"/>
      <c r="S20" s="70"/>
    </row>
    <row r="21" spans="1:19" ht="15.75" thickBot="1" x14ac:dyDescent="0.3">
      <c r="A21" s="1"/>
      <c r="B21" s="65">
        <f>ROW(B21) - ROW($B$9)</f>
        <v>12</v>
      </c>
      <c r="C21" s="76" t="s">
        <v>7</v>
      </c>
      <c r="D21" s="77" t="s">
        <v>21</v>
      </c>
      <c r="E21" s="78" t="s">
        <v>63</v>
      </c>
      <c r="F21" s="78" t="s">
        <v>95</v>
      </c>
      <c r="G21" s="79" t="s">
        <v>135</v>
      </c>
      <c r="H21" s="78" t="s">
        <v>155</v>
      </c>
      <c r="I21" s="78" t="s">
        <v>229</v>
      </c>
      <c r="J21" s="78" t="s">
        <v>177</v>
      </c>
      <c r="K21" s="80" t="s">
        <v>196</v>
      </c>
      <c r="L21" s="81">
        <v>8</v>
      </c>
      <c r="M21" s="80">
        <f t="shared" si="1"/>
        <v>8000</v>
      </c>
      <c r="N21" s="78">
        <v>8100</v>
      </c>
      <c r="O21" s="82" t="s">
        <v>227</v>
      </c>
      <c r="P21" s="83">
        <v>1.6000000000000001E-3</v>
      </c>
      <c r="Q21" s="83">
        <f t="shared" si="2"/>
        <v>12.96</v>
      </c>
      <c r="R21" s="79"/>
      <c r="S21" s="83"/>
    </row>
    <row r="22" spans="1:19" s="64" customFormat="1" ht="15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8">
        <f t="shared" si="1"/>
        <v>8000</v>
      </c>
      <c r="N22" s="61">
        <v>8100</v>
      </c>
      <c r="O22" s="69" t="s">
        <v>227</v>
      </c>
      <c r="P22" s="70">
        <v>6.9999999999999999E-4</v>
      </c>
      <c r="Q22" s="70">
        <f t="shared" si="2"/>
        <v>5.67</v>
      </c>
      <c r="R22" s="67"/>
      <c r="S22" s="70"/>
    </row>
    <row r="23" spans="1:19" ht="15.75" thickBot="1" x14ac:dyDescent="0.3">
      <c r="A23" s="1"/>
      <c r="B23" s="65">
        <f t="shared" si="0"/>
        <v>14</v>
      </c>
      <c r="C23" s="76" t="s">
        <v>7</v>
      </c>
      <c r="D23" s="77" t="s">
        <v>23</v>
      </c>
      <c r="E23" s="78" t="s">
        <v>65</v>
      </c>
      <c r="F23" s="78" t="s">
        <v>100</v>
      </c>
      <c r="G23" s="79" t="s">
        <v>138</v>
      </c>
      <c r="H23" s="78" t="s">
        <v>158</v>
      </c>
      <c r="I23" s="78" t="s">
        <v>229</v>
      </c>
      <c r="J23" s="78" t="s">
        <v>253</v>
      </c>
      <c r="K23" s="80" t="s">
        <v>193</v>
      </c>
      <c r="L23" s="81">
        <v>8</v>
      </c>
      <c r="M23" s="80">
        <f t="shared" si="1"/>
        <v>8000</v>
      </c>
      <c r="N23" s="78">
        <v>8050</v>
      </c>
      <c r="O23" s="82" t="s">
        <v>227</v>
      </c>
      <c r="P23" s="83">
        <v>4.5999999999999999E-2</v>
      </c>
      <c r="Q23" s="83">
        <f t="shared" si="2"/>
        <v>370.3</v>
      </c>
      <c r="R23" s="79"/>
      <c r="S23" s="83"/>
    </row>
    <row r="24" spans="1:19" s="64" customFormat="1" ht="15.75" thickBot="1" x14ac:dyDescent="0.3">
      <c r="A24" s="63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8">
        <f t="shared" si="1"/>
        <v>4000</v>
      </c>
      <c r="N24" s="61">
        <v>4060</v>
      </c>
      <c r="O24" s="69" t="s">
        <v>227</v>
      </c>
      <c r="P24" s="70">
        <v>1.5800000000000002E-2</v>
      </c>
      <c r="Q24" s="70">
        <f t="shared" si="2"/>
        <v>64.14800000000001</v>
      </c>
      <c r="R24" s="67"/>
      <c r="S24" s="70"/>
    </row>
    <row r="25" spans="1:19" s="64" customFormat="1" ht="36.75" thickBot="1" x14ac:dyDescent="0.3">
      <c r="A25" s="63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58">
        <f t="shared" si="1"/>
        <v>1000</v>
      </c>
      <c r="N25" s="45">
        <v>1030</v>
      </c>
      <c r="O25" s="62" t="s">
        <v>227</v>
      </c>
      <c r="P25" s="47">
        <v>2.8899999999999999E-2</v>
      </c>
      <c r="Q25" s="47">
        <f t="shared" ref="Q25:Q51" si="3">P25*N25</f>
        <v>29.766999999999999</v>
      </c>
      <c r="R25" s="46"/>
      <c r="S25" s="47"/>
    </row>
    <row r="26" spans="1:19" s="64" customFormat="1" ht="24.75" thickBot="1" x14ac:dyDescent="0.3">
      <c r="A26" s="63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8">
        <f t="shared" si="1"/>
        <v>1000</v>
      </c>
      <c r="N26" s="61">
        <v>1030</v>
      </c>
      <c r="O26" s="69" t="s">
        <v>227</v>
      </c>
      <c r="P26" s="70">
        <v>2.12E-2</v>
      </c>
      <c r="Q26" s="70">
        <f t="shared" si="3"/>
        <v>21.835999999999999</v>
      </c>
      <c r="R26" s="67"/>
      <c r="S26" s="70"/>
    </row>
    <row r="27" spans="1:19" s="64" customFormat="1" ht="15.75" thickBot="1" x14ac:dyDescent="0.3">
      <c r="A27" s="63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58">
        <f t="shared" si="1"/>
        <v>1000</v>
      </c>
      <c r="N27" s="45">
        <v>1040</v>
      </c>
      <c r="O27" s="62" t="s">
        <v>227</v>
      </c>
      <c r="P27" s="47">
        <v>1.6199999999999999E-2</v>
      </c>
      <c r="Q27" s="47">
        <f t="shared" si="3"/>
        <v>16.847999999999999</v>
      </c>
      <c r="R27" s="46"/>
      <c r="S27" s="47"/>
    </row>
    <row r="28" spans="1:19" s="64" customFormat="1" ht="36.75" thickBot="1" x14ac:dyDescent="0.3">
      <c r="A28" s="63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8">
        <f t="shared" si="1"/>
        <v>1000</v>
      </c>
      <c r="N28" s="61">
        <v>1020</v>
      </c>
      <c r="O28" s="69" t="s">
        <v>227</v>
      </c>
      <c r="P28" s="70">
        <v>3.2199999999999999E-2</v>
      </c>
      <c r="Q28" s="70">
        <f t="shared" si="3"/>
        <v>32.844000000000001</v>
      </c>
      <c r="R28" s="67"/>
      <c r="S28" s="70"/>
    </row>
    <row r="29" spans="1:19" s="64" customFormat="1" ht="24.75" thickBot="1" x14ac:dyDescent="0.3">
      <c r="A29" s="63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58">
        <f t="shared" si="1"/>
        <v>8000</v>
      </c>
      <c r="N29" s="45">
        <v>8100</v>
      </c>
      <c r="O29" s="62" t="s">
        <v>235</v>
      </c>
      <c r="P29" s="47">
        <v>1.8</v>
      </c>
      <c r="Q29" s="47">
        <f t="shared" si="3"/>
        <v>14580</v>
      </c>
      <c r="R29" s="46"/>
      <c r="S29" s="47"/>
    </row>
    <row r="30" spans="1:19" s="64" customFormat="1" ht="60.75" thickBot="1" x14ac:dyDescent="0.3">
      <c r="A30" s="63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 t="s">
        <v>229</v>
      </c>
      <c r="J30" s="61" t="s">
        <v>229</v>
      </c>
      <c r="K30" s="68" t="s">
        <v>229</v>
      </c>
      <c r="L30" s="61">
        <v>4</v>
      </c>
      <c r="M30" s="68">
        <f t="shared" si="1"/>
        <v>4000</v>
      </c>
      <c r="N30" s="61">
        <v>4050</v>
      </c>
      <c r="O30" s="69" t="s">
        <v>235</v>
      </c>
      <c r="P30" s="70">
        <v>1.01</v>
      </c>
      <c r="Q30" s="70">
        <f t="shared" si="3"/>
        <v>4090.5</v>
      </c>
      <c r="R30" s="95" t="s">
        <v>275</v>
      </c>
      <c r="S30" s="70"/>
    </row>
    <row r="31" spans="1:19" s="64" customFormat="1" ht="24.75" thickBot="1" x14ac:dyDescent="0.3">
      <c r="A31" s="63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58">
        <f t="shared" si="1"/>
        <v>1000</v>
      </c>
      <c r="N31" s="45">
        <v>1040</v>
      </c>
      <c r="O31" s="62" t="s">
        <v>227</v>
      </c>
      <c r="P31" s="47">
        <v>1.8800000000000001E-2</v>
      </c>
      <c r="Q31" s="47">
        <f t="shared" si="3"/>
        <v>19.552</v>
      </c>
      <c r="R31" s="46"/>
      <c r="S31" s="47"/>
    </row>
    <row r="32" spans="1:19" s="64" customFormat="1" ht="24.75" thickBot="1" x14ac:dyDescent="0.3">
      <c r="A32" s="63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2">
        <f t="shared" si="1"/>
        <v>5000</v>
      </c>
      <c r="N32" s="91" t="s">
        <v>229</v>
      </c>
      <c r="O32" s="93" t="s">
        <v>229</v>
      </c>
      <c r="P32" s="94" t="s">
        <v>229</v>
      </c>
      <c r="Q32" s="94" t="s">
        <v>229</v>
      </c>
      <c r="R32" s="74" t="s">
        <v>273</v>
      </c>
      <c r="S32" s="94"/>
    </row>
    <row r="33" spans="1:19" s="64" customFormat="1" ht="15.75" thickBot="1" x14ac:dyDescent="0.3">
      <c r="A33" s="63"/>
      <c r="B33" s="37">
        <f t="shared" si="0"/>
        <v>24</v>
      </c>
      <c r="C33" s="52" t="s">
        <v>208</v>
      </c>
      <c r="D33" s="72" t="s">
        <v>33</v>
      </c>
      <c r="E33" s="45" t="s">
        <v>75</v>
      </c>
      <c r="F33" s="78" t="s">
        <v>109</v>
      </c>
      <c r="G33" s="73" t="s">
        <v>142</v>
      </c>
      <c r="H33" s="78" t="s">
        <v>162</v>
      </c>
      <c r="I33" s="78" t="s">
        <v>242</v>
      </c>
      <c r="J33" s="78" t="s">
        <v>243</v>
      </c>
      <c r="K33" s="80" t="s">
        <v>197</v>
      </c>
      <c r="L33" s="59">
        <v>3</v>
      </c>
      <c r="M33" s="58">
        <f t="shared" si="1"/>
        <v>3000</v>
      </c>
      <c r="N33" s="45">
        <v>3100</v>
      </c>
      <c r="O33" s="82" t="s">
        <v>227</v>
      </c>
      <c r="P33" s="47">
        <v>6.9999999999999999E-4</v>
      </c>
      <c r="Q33" s="47">
        <f t="shared" si="3"/>
        <v>2.17</v>
      </c>
      <c r="R33" s="46"/>
      <c r="S33" s="47"/>
    </row>
    <row r="34" spans="1:19" ht="15.75" thickBot="1" x14ac:dyDescent="0.3">
      <c r="A34" s="1"/>
      <c r="B34" s="65">
        <f>ROW(B34) - ROW($B$9)</f>
        <v>25</v>
      </c>
      <c r="C34" s="54" t="s">
        <v>208</v>
      </c>
      <c r="D34" s="84" t="s">
        <v>34</v>
      </c>
      <c r="E34" s="85" t="s">
        <v>76</v>
      </c>
      <c r="F34" s="66" t="s">
        <v>110</v>
      </c>
      <c r="G34" s="85" t="s">
        <v>143</v>
      </c>
      <c r="H34" s="66" t="s">
        <v>155</v>
      </c>
      <c r="I34" s="66" t="s">
        <v>229</v>
      </c>
      <c r="J34" s="66" t="s">
        <v>254</v>
      </c>
      <c r="K34" s="86" t="s">
        <v>198</v>
      </c>
      <c r="L34" s="66">
        <v>8</v>
      </c>
      <c r="M34" s="86">
        <f t="shared" si="1"/>
        <v>8000</v>
      </c>
      <c r="N34" s="66">
        <v>8100</v>
      </c>
      <c r="O34" s="87" t="s">
        <v>227</v>
      </c>
      <c r="P34" s="88">
        <v>8.0000000000000004E-4</v>
      </c>
      <c r="Q34" s="88">
        <f t="shared" si="3"/>
        <v>6.48</v>
      </c>
      <c r="R34" s="85"/>
      <c r="S34" s="88"/>
    </row>
    <row r="35" spans="1:19" s="64" customFormat="1" ht="15.75" thickBot="1" x14ac:dyDescent="0.3">
      <c r="A35" s="63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246</v>
      </c>
      <c r="K35" s="58" t="s">
        <v>199</v>
      </c>
      <c r="L35" s="59">
        <v>3</v>
      </c>
      <c r="M35" s="58">
        <f t="shared" si="1"/>
        <v>3000</v>
      </c>
      <c r="N35" s="45">
        <v>3100</v>
      </c>
      <c r="O35" s="62" t="s">
        <v>227</v>
      </c>
      <c r="P35" s="47">
        <v>8.0000000000000004E-4</v>
      </c>
      <c r="Q35" s="47">
        <f t="shared" si="3"/>
        <v>2.48</v>
      </c>
      <c r="R35" s="46"/>
      <c r="S35" s="47"/>
    </row>
    <row r="36" spans="1:19" s="64" customFormat="1" ht="24.75" thickBot="1" x14ac:dyDescent="0.3">
      <c r="A36" s="63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8">
        <f t="shared" si="1"/>
        <v>10000</v>
      </c>
      <c r="N36" s="61">
        <v>10100</v>
      </c>
      <c r="O36" s="69" t="s">
        <v>227</v>
      </c>
      <c r="P36" s="70">
        <v>5.0000000000000001E-4</v>
      </c>
      <c r="Q36" s="70">
        <f t="shared" si="3"/>
        <v>5.05</v>
      </c>
      <c r="R36" s="67"/>
      <c r="S36" s="70"/>
    </row>
    <row r="37" spans="1:19" s="64" customFormat="1" ht="24.75" thickBot="1" x14ac:dyDescent="0.3">
      <c r="A37" s="63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247</v>
      </c>
      <c r="K37" s="58" t="s">
        <v>201</v>
      </c>
      <c r="L37" s="59">
        <v>2</v>
      </c>
      <c r="M37" s="58">
        <f t="shared" si="1"/>
        <v>2000</v>
      </c>
      <c r="N37" s="45">
        <v>2100</v>
      </c>
      <c r="O37" s="62" t="s">
        <v>227</v>
      </c>
      <c r="P37" s="47">
        <v>8.0000000000000004E-4</v>
      </c>
      <c r="Q37" s="47">
        <f t="shared" si="3"/>
        <v>1.6800000000000002</v>
      </c>
      <c r="R37" s="46"/>
      <c r="S37" s="47"/>
    </row>
    <row r="38" spans="1:19" s="64" customFormat="1" ht="24.75" thickBot="1" x14ac:dyDescent="0.3">
      <c r="A38" s="63"/>
      <c r="B38" s="37">
        <f>ROW(B38) - ROW($B$9)</f>
        <v>29</v>
      </c>
      <c r="C38" s="53" t="s">
        <v>208</v>
      </c>
      <c r="D38" s="71" t="s">
        <v>271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16</v>
      </c>
      <c r="M38" s="68">
        <f t="shared" si="1"/>
        <v>16000</v>
      </c>
      <c r="N38" s="61">
        <v>16100</v>
      </c>
      <c r="O38" s="69" t="s">
        <v>227</v>
      </c>
      <c r="P38" s="70">
        <v>4.0000000000000002E-4</v>
      </c>
      <c r="Q38" s="70">
        <f t="shared" si="3"/>
        <v>6.44</v>
      </c>
      <c r="R38" s="67"/>
      <c r="S38" s="70"/>
    </row>
    <row r="39" spans="1:19" s="64" customFormat="1" ht="15.75" thickBot="1" x14ac:dyDescent="0.3">
      <c r="A39" s="63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255</v>
      </c>
      <c r="K39" s="58" t="s">
        <v>203</v>
      </c>
      <c r="L39" s="59">
        <v>4</v>
      </c>
      <c r="M39" s="58">
        <f t="shared" si="1"/>
        <v>4000</v>
      </c>
      <c r="N39" s="45">
        <v>4100</v>
      </c>
      <c r="O39" s="62" t="s">
        <v>227</v>
      </c>
      <c r="P39" s="47">
        <v>1.1000000000000001E-3</v>
      </c>
      <c r="Q39" s="47">
        <f t="shared" si="3"/>
        <v>4.5100000000000007</v>
      </c>
      <c r="R39" s="46"/>
      <c r="S39" s="47"/>
    </row>
    <row r="40" spans="1:19" s="64" customFormat="1" ht="180.75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106000</v>
      </c>
      <c r="N40" s="91" t="s">
        <v>229</v>
      </c>
      <c r="O40" s="93" t="s">
        <v>229</v>
      </c>
      <c r="P40" s="94" t="s">
        <v>229</v>
      </c>
      <c r="Q40" s="94" t="s">
        <v>229</v>
      </c>
      <c r="R40" s="74" t="s">
        <v>273</v>
      </c>
      <c r="S40" s="94"/>
    </row>
    <row r="41" spans="1:19" s="64" customFormat="1" ht="36.75" thickBot="1" x14ac:dyDescent="0.3">
      <c r="A41" s="63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58">
        <f t="shared" si="1"/>
        <v>1000</v>
      </c>
      <c r="N41" s="45">
        <v>1050</v>
      </c>
      <c r="O41" s="62" t="s">
        <v>235</v>
      </c>
      <c r="P41" s="47">
        <v>3.7999999999999999E-2</v>
      </c>
      <c r="Q41" s="47">
        <f t="shared" si="3"/>
        <v>39.9</v>
      </c>
      <c r="R41" s="89" t="s">
        <v>272</v>
      </c>
      <c r="S41" s="47"/>
    </row>
    <row r="42" spans="1:19" s="64" customFormat="1" ht="24.75" thickBot="1" x14ac:dyDescent="0.3">
      <c r="A42" s="63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229</v>
      </c>
      <c r="K42" s="68" t="s">
        <v>229</v>
      </c>
      <c r="L42" s="61">
        <v>1</v>
      </c>
      <c r="M42" s="68">
        <f t="shared" si="1"/>
        <v>1000</v>
      </c>
      <c r="N42" s="61">
        <v>1020</v>
      </c>
      <c r="O42" s="69" t="s">
        <v>235</v>
      </c>
      <c r="P42" s="70">
        <v>3.3</v>
      </c>
      <c r="Q42" s="70">
        <f t="shared" si="3"/>
        <v>3366</v>
      </c>
      <c r="R42" s="95" t="s">
        <v>272</v>
      </c>
      <c r="S42" s="70"/>
    </row>
    <row r="43" spans="1:19" s="64" customFormat="1" ht="24.75" thickBot="1" x14ac:dyDescent="0.3">
      <c r="A43" s="63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 t="s">
        <v>229</v>
      </c>
      <c r="J43" s="45" t="s">
        <v>229</v>
      </c>
      <c r="K43" s="58" t="s">
        <v>229</v>
      </c>
      <c r="L43" s="59">
        <v>8</v>
      </c>
      <c r="M43" s="58">
        <f t="shared" si="1"/>
        <v>8000</v>
      </c>
      <c r="N43" s="45">
        <v>8020</v>
      </c>
      <c r="O43" s="62" t="s">
        <v>235</v>
      </c>
      <c r="P43" s="47">
        <v>2.206</v>
      </c>
      <c r="Q43" s="47">
        <f t="shared" si="3"/>
        <v>17692.12</v>
      </c>
      <c r="R43" s="96" t="s">
        <v>276</v>
      </c>
      <c r="S43" s="47"/>
    </row>
    <row r="44" spans="1:19" s="64" customFormat="1" ht="36.75" thickBot="1" x14ac:dyDescent="0.3">
      <c r="A44" s="63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256</v>
      </c>
      <c r="K44" s="68" t="s">
        <v>229</v>
      </c>
      <c r="L44" s="61">
        <v>1</v>
      </c>
      <c r="M44" s="68">
        <f t="shared" si="1"/>
        <v>1000</v>
      </c>
      <c r="N44" s="61">
        <v>1020</v>
      </c>
      <c r="O44" s="69" t="s">
        <v>227</v>
      </c>
      <c r="P44" s="70">
        <v>0.29759999999999998</v>
      </c>
      <c r="Q44" s="70">
        <f t="shared" si="3"/>
        <v>303.55199999999996</v>
      </c>
      <c r="R44" s="67"/>
      <c r="S44" s="70"/>
    </row>
    <row r="45" spans="1:19" s="64" customFormat="1" ht="24.75" thickBot="1" x14ac:dyDescent="0.3">
      <c r="A45" s="63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 t="s">
        <v>229</v>
      </c>
      <c r="J45" s="45" t="s">
        <v>229</v>
      </c>
      <c r="K45" s="58" t="s">
        <v>229</v>
      </c>
      <c r="L45" s="59">
        <v>1</v>
      </c>
      <c r="M45" s="58">
        <f t="shared" si="1"/>
        <v>1000</v>
      </c>
      <c r="N45" s="45">
        <v>1020</v>
      </c>
      <c r="O45" s="62" t="s">
        <v>235</v>
      </c>
      <c r="P45" s="47">
        <v>8.3000000000000007</v>
      </c>
      <c r="Q45" s="47">
        <f t="shared" si="3"/>
        <v>8466</v>
      </c>
      <c r="R45" s="89" t="s">
        <v>272</v>
      </c>
      <c r="S45" s="47"/>
    </row>
    <row r="46" spans="1:19" s="64" customFormat="1" ht="24.75" thickBot="1" x14ac:dyDescent="0.3">
      <c r="A46" s="63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244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8">
        <f t="shared" si="1"/>
        <v>2000</v>
      </c>
      <c r="N46" s="61">
        <v>2020</v>
      </c>
      <c r="O46" s="69" t="s">
        <v>227</v>
      </c>
      <c r="P46" s="70">
        <v>2.6084000000000001</v>
      </c>
      <c r="Q46" s="70">
        <f t="shared" si="3"/>
        <v>5268.9679999999998</v>
      </c>
      <c r="R46" s="67"/>
      <c r="S46" s="70"/>
    </row>
    <row r="47" spans="1:19" s="64" customFormat="1" ht="36.75" thickBot="1" x14ac:dyDescent="0.3">
      <c r="A47" s="63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245</v>
      </c>
      <c r="G47" s="46" t="s">
        <v>119</v>
      </c>
      <c r="H47" s="45" t="s">
        <v>168</v>
      </c>
      <c r="I47" s="45" t="s">
        <v>229</v>
      </c>
      <c r="J47" s="45" t="s">
        <v>229</v>
      </c>
      <c r="K47" s="58" t="s">
        <v>229</v>
      </c>
      <c r="L47" s="59">
        <v>1</v>
      </c>
      <c r="M47" s="58">
        <f t="shared" si="1"/>
        <v>1000</v>
      </c>
      <c r="N47" s="45">
        <v>1020</v>
      </c>
      <c r="O47" s="62" t="s">
        <v>235</v>
      </c>
      <c r="P47" s="47">
        <v>9.1999999999999998E-2</v>
      </c>
      <c r="Q47" s="47">
        <f t="shared" si="3"/>
        <v>93.84</v>
      </c>
      <c r="R47" s="89" t="s">
        <v>272</v>
      </c>
      <c r="S47" s="47"/>
    </row>
    <row r="48" spans="1:19" s="64" customFormat="1" ht="24.75" thickBot="1" x14ac:dyDescent="0.3">
      <c r="A48" s="63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 t="s">
        <v>229</v>
      </c>
      <c r="K48" s="68" t="s">
        <v>229</v>
      </c>
      <c r="L48" s="61">
        <v>1</v>
      </c>
      <c r="M48" s="68">
        <f t="shared" si="1"/>
        <v>1000</v>
      </c>
      <c r="N48" s="61">
        <v>1020</v>
      </c>
      <c r="O48" s="69" t="s">
        <v>235</v>
      </c>
      <c r="P48" s="70">
        <v>4.8</v>
      </c>
      <c r="Q48" s="70">
        <f t="shared" si="3"/>
        <v>4896</v>
      </c>
      <c r="R48" s="95" t="s">
        <v>272</v>
      </c>
      <c r="S48" s="70"/>
    </row>
    <row r="49" spans="1:19" s="64" customFormat="1" ht="24.75" thickBot="1" x14ac:dyDescent="0.3">
      <c r="A49" s="63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 t="s">
        <v>229</v>
      </c>
      <c r="K49" s="58" t="s">
        <v>229</v>
      </c>
      <c r="L49" s="59">
        <v>4</v>
      </c>
      <c r="M49" s="58">
        <f t="shared" si="1"/>
        <v>4000</v>
      </c>
      <c r="N49" s="45">
        <v>4020</v>
      </c>
      <c r="O49" s="62" t="s">
        <v>235</v>
      </c>
      <c r="P49" s="47">
        <v>1.9</v>
      </c>
      <c r="Q49" s="47">
        <f t="shared" si="3"/>
        <v>7638</v>
      </c>
      <c r="R49" s="96" t="s">
        <v>276</v>
      </c>
      <c r="S49" s="47"/>
    </row>
    <row r="50" spans="1:19" s="64" customFormat="1" ht="48.75" thickBot="1" x14ac:dyDescent="0.3">
      <c r="A50" s="63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238</v>
      </c>
      <c r="K50" s="68" t="s">
        <v>239</v>
      </c>
      <c r="L50" s="61">
        <v>1</v>
      </c>
      <c r="M50" s="68">
        <f t="shared" si="1"/>
        <v>1000</v>
      </c>
      <c r="N50" s="61">
        <v>1020</v>
      </c>
      <c r="O50" s="69" t="s">
        <v>227</v>
      </c>
      <c r="P50" s="70">
        <v>0.10050000000000001</v>
      </c>
      <c r="Q50" s="70">
        <f t="shared" si="3"/>
        <v>102.51</v>
      </c>
      <c r="R50" s="67"/>
      <c r="S50" s="70"/>
    </row>
    <row r="51" spans="1:19" s="64" customFormat="1" ht="48.75" thickBot="1" x14ac:dyDescent="0.3">
      <c r="A51" s="63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240</v>
      </c>
      <c r="K51" s="58" t="s">
        <v>241</v>
      </c>
      <c r="L51" s="75">
        <v>2</v>
      </c>
      <c r="M51" s="58">
        <f t="shared" si="1"/>
        <v>2000</v>
      </c>
      <c r="N51" s="45">
        <v>2020</v>
      </c>
      <c r="O51" s="62" t="s">
        <v>227</v>
      </c>
      <c r="P51" s="47">
        <v>4.0500000000000001E-2</v>
      </c>
      <c r="Q51" s="47">
        <f t="shared" si="3"/>
        <v>81.81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6" t="s">
        <v>221</v>
      </c>
      <c r="O52" s="107"/>
      <c r="P52" s="107"/>
      <c r="Q52" s="56">
        <f>SUM(Q10:Q51)</f>
        <v>70359.596999999994</v>
      </c>
      <c r="R52" s="102"/>
      <c r="S52" s="103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6" t="s">
        <v>222</v>
      </c>
      <c r="O53" s="107"/>
      <c r="P53" s="107"/>
      <c r="Q53" s="57">
        <f>Q52/1000</f>
        <v>70.359596999999994</v>
      </c>
      <c r="R53" s="104"/>
      <c r="S53" s="105"/>
    </row>
  </sheetData>
  <mergeCells count="5">
    <mergeCell ref="K1:S1"/>
    <mergeCell ref="S3:S8"/>
    <mergeCell ref="N52:P52"/>
    <mergeCell ref="R52:S53"/>
    <mergeCell ref="N53:P53"/>
  </mergeCells>
  <conditionalFormatting sqref="O1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{D84F8A0A-78AA-4EF9-A8E4-001126690CFF}</x14:id>
        </ext>
      </extLst>
    </cfRule>
  </conditionalFormatting>
  <conditionalFormatting sqref="O1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{C6BA5C9C-2E0E-48D4-BE53-3793AE6931E7}</x14:id>
        </ext>
      </extLst>
    </cfRule>
  </conditionalFormatting>
  <conditionalFormatting sqref="O25:O2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{32454388-7FBE-45A6-9104-3B13E70ABFAE}</x14:id>
        </ext>
      </extLst>
    </cfRule>
  </conditionalFormatting>
  <conditionalFormatting sqref="O4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{E0DEC523-F60F-431D-8880-E182B4DF74F6}</x14:id>
        </ext>
      </extLst>
    </cfRule>
  </conditionalFormatting>
  <conditionalFormatting sqref="O4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{8F8CD732-9D7C-49BE-ADA5-EC88FFF11076}</x14:id>
        </ext>
      </extLst>
    </cfRule>
  </conditionalFormatting>
  <conditionalFormatting sqref="O4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{FCD72B91-26BC-4F83-B23A-ECE649A17A2B}</x14:id>
        </ext>
      </extLst>
    </cfRule>
  </conditionalFormatting>
  <hyperlinks>
    <hyperlink ref="O14" r:id="rId1" xr:uid="{3F666622-19CD-49D8-836D-A715AF8C7BCB}"/>
    <hyperlink ref="O25" r:id="rId2" xr:uid="{70905355-4C57-456D-9862-DFE0DD3DB964}"/>
    <hyperlink ref="O26" r:id="rId3" xr:uid="{86986251-3D2A-4A7C-A416-3D1199C223D0}"/>
    <hyperlink ref="O28" r:id="rId4" xr:uid="{375CEA92-3EB9-4829-BD66-68D717A59027}"/>
    <hyperlink ref="O31" r:id="rId5" xr:uid="{F6949712-ED65-4C77-96E9-47E5044BB43D}"/>
    <hyperlink ref="O46" r:id="rId6" xr:uid="{730F629A-9B2F-4B72-926C-B3532D45F489}"/>
    <hyperlink ref="O33" r:id="rId7" xr:uid="{D108523B-8283-4FDF-9170-5BCD9B14CB7B}"/>
    <hyperlink ref="O37" r:id="rId8" xr:uid="{DA6F1F5A-17F0-4592-9BBF-67B5057A6A77}"/>
    <hyperlink ref="O10" r:id="rId9" xr:uid="{4D1847F1-01A3-44D8-A3EE-C7D9202B4A5A}"/>
    <hyperlink ref="O11" r:id="rId10" xr:uid="{2A13FAAE-C51F-4AE7-915C-559FF7F93908}"/>
    <hyperlink ref="O13" r:id="rId11" xr:uid="{2BE82DA5-AC48-4568-BB81-F34A8E1B1D52}"/>
    <hyperlink ref="O16" r:id="rId12" xr:uid="{B305E14A-3565-4C71-9EE7-98BA68FFD6C9}"/>
    <hyperlink ref="O17" r:id="rId13" xr:uid="{0C952D0E-7AB2-4D03-8DC7-8D34D7AB5CFE}"/>
    <hyperlink ref="O19" r:id="rId14" xr:uid="{565A9792-A268-4B63-9EF1-6DFC64627684}"/>
    <hyperlink ref="O12" r:id="rId15" xr:uid="{11F996D3-01E5-4AF3-9786-E6E069221F62}"/>
    <hyperlink ref="O20" r:id="rId16" xr:uid="{7EA3CEF5-E0E6-497A-9663-E94D6D4E58EA}"/>
    <hyperlink ref="O21" r:id="rId17" xr:uid="{22EEA227-D865-482D-A540-A9B3310DF171}"/>
    <hyperlink ref="O22" r:id="rId18" xr:uid="{B3BC910E-3C07-4957-BCD7-862D3FE44DCC}"/>
    <hyperlink ref="O23" r:id="rId19" xr:uid="{17A9BDF4-CAAF-49F1-8D54-44697239E78B}"/>
    <hyperlink ref="O24" r:id="rId20" xr:uid="{97EC083E-78AF-4E1D-B006-25B45252D681}"/>
    <hyperlink ref="O27" r:id="rId21" xr:uid="{8BA4993F-EF8D-4853-9AAF-4D944F6F9318}"/>
    <hyperlink ref="O34" r:id="rId22" xr:uid="{76F393FA-22D5-4682-BBA7-E03DE74678BE}"/>
    <hyperlink ref="O35" r:id="rId23" xr:uid="{C3D3E8F5-250D-420F-A560-8FFEE7977CE4}"/>
    <hyperlink ref="O36" r:id="rId24" xr:uid="{BE7D3710-9F89-4332-A6A2-6ECB3E8D552C}"/>
    <hyperlink ref="O38" r:id="rId25" xr:uid="{D44A97AB-9CCA-4520-94CC-47254B3DBCF7}"/>
    <hyperlink ref="O39" r:id="rId26" xr:uid="{5BF77E5E-22E7-47C4-A6AA-CE2094986432}"/>
    <hyperlink ref="O44" r:id="rId27" xr:uid="{766B6931-E141-41BD-90BC-14A8A9662E42}"/>
    <hyperlink ref="O50" r:id="rId28" xr:uid="{A08941E2-E59B-4E31-9A9E-7D3C3FA152D0}"/>
    <hyperlink ref="O51" r:id="rId29" xr:uid="{3384746F-1328-4509-B5D1-3A3DA916D396}"/>
    <hyperlink ref="O15" r:id="rId30" xr:uid="{4032D33F-E07C-4164-91A3-C25F8D36C2F6}"/>
    <hyperlink ref="O18" r:id="rId31" xr:uid="{BC60AEA0-E2CE-478D-8549-567D3F944642}"/>
  </hyperlinks>
  <pageMargins left="0.7" right="0.7" top="0.75" bottom="0.75" header="0.3" footer="0.3"/>
  <pageSetup orientation="portrait" r:id="rId32"/>
  <drawing r:id="rId3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4F8A0A-78AA-4EF9-A8E4-001126690C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C6BA5C9C-2E0E-48D4-BE53-3793AE6931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32454388-7FBE-45A6-9104-3B13E70ABF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O25:O26</xm:sqref>
        </x14:conditionalFormatting>
        <x14:conditionalFormatting xmlns:xm="http://schemas.microsoft.com/office/excel/2006/main">
          <x14:cfRule type="dataBar" id="{E0DEC523-F60F-431D-8880-E182B4DF74F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O45</xm:sqref>
        </x14:conditionalFormatting>
        <x14:conditionalFormatting xmlns:xm="http://schemas.microsoft.com/office/excel/2006/main">
          <x14:cfRule type="dataBar" id="{8F8CD732-9D7C-49BE-ADA5-EC88FFF110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  <x14:conditionalFormatting xmlns:xm="http://schemas.microsoft.com/office/excel/2006/main">
          <x14:cfRule type="dataBar" id="{FCD72B91-26BC-4F83-B23A-ECE649A17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7114-0090-4126-B55D-94BB641514CB}">
  <dimension ref="A1:S53"/>
  <sheetViews>
    <sheetView topLeftCell="D27" workbookViewId="0">
      <selection activeCell="P29" sqref="P29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8.140625" customWidth="1"/>
    <col min="6" max="6" width="12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8"/>
      <c r="L1" s="98"/>
      <c r="M1" s="98"/>
      <c r="N1" s="98"/>
      <c r="O1" s="98"/>
      <c r="P1" s="98"/>
      <c r="Q1" s="98"/>
      <c r="R1" s="98"/>
      <c r="S1" s="99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0"/>
    </row>
    <row r="4" spans="1:19" x14ac:dyDescent="0.25">
      <c r="A4" s="1"/>
      <c r="B4" s="22"/>
      <c r="C4" s="39"/>
      <c r="D4" s="13" t="s">
        <v>2</v>
      </c>
      <c r="E4" s="13"/>
      <c r="F4" s="50" t="s">
        <v>258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1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1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1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1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1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1" t="s">
        <v>204</v>
      </c>
      <c r="M9" s="30" t="s">
        <v>214</v>
      </c>
      <c r="N9" s="31" t="s">
        <v>215</v>
      </c>
      <c r="O9" s="30" t="s">
        <v>216</v>
      </c>
      <c r="P9" s="31" t="s">
        <v>217</v>
      </c>
      <c r="Q9" s="30" t="s">
        <v>218</v>
      </c>
      <c r="R9" s="30" t="s">
        <v>219</v>
      </c>
      <c r="S9" s="30" t="s">
        <v>220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L10*5000</f>
        <v>100000</v>
      </c>
      <c r="N10" s="61">
        <v>100100</v>
      </c>
      <c r="O10" s="69" t="s">
        <v>227</v>
      </c>
      <c r="P10" s="70">
        <v>1.2500000000000001E-2</v>
      </c>
      <c r="Q10" s="70">
        <f>P10*N10</f>
        <v>1251.25</v>
      </c>
      <c r="R10" s="67"/>
      <c r="S10" s="70"/>
    </row>
    <row r="11" spans="1:19" s="64" customFormat="1" ht="15.75" thickBot="1" x14ac:dyDescent="0.3">
      <c r="A11" s="63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248</v>
      </c>
      <c r="K11" s="58" t="s">
        <v>186</v>
      </c>
      <c r="L11" s="59">
        <v>1</v>
      </c>
      <c r="M11" s="58">
        <f t="shared" ref="M11:M51" si="1">L11*5000</f>
        <v>5000</v>
      </c>
      <c r="N11" s="45">
        <v>5060</v>
      </c>
      <c r="O11" s="62" t="s">
        <v>227</v>
      </c>
      <c r="P11" s="47">
        <v>1.09E-2</v>
      </c>
      <c r="Q11" s="47">
        <f t="shared" ref="Q11:Q24" si="2">P11*N11</f>
        <v>55.153999999999996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265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 t="s">
        <v>229</v>
      </c>
      <c r="J12" s="61" t="s">
        <v>176</v>
      </c>
      <c r="K12" s="68" t="s">
        <v>187</v>
      </c>
      <c r="L12" s="61">
        <v>43</v>
      </c>
      <c r="M12" s="68">
        <f t="shared" si="1"/>
        <v>215000</v>
      </c>
      <c r="N12" s="61">
        <v>215100</v>
      </c>
      <c r="O12" s="69" t="s">
        <v>227</v>
      </c>
      <c r="P12" s="70">
        <v>5.1000000000000004E-3</v>
      </c>
      <c r="Q12" s="70">
        <f>P12*N12</f>
        <v>1097.01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249</v>
      </c>
      <c r="K13" s="58" t="s">
        <v>188</v>
      </c>
      <c r="L13" s="59">
        <v>12</v>
      </c>
      <c r="M13" s="58">
        <f t="shared" si="1"/>
        <v>60000</v>
      </c>
      <c r="N13" s="45">
        <v>60100</v>
      </c>
      <c r="O13" s="62" t="s">
        <v>227</v>
      </c>
      <c r="P13" s="47">
        <v>1.4E-3</v>
      </c>
      <c r="Q13" s="47">
        <f t="shared" si="2"/>
        <v>84.14</v>
      </c>
      <c r="R13" s="46"/>
      <c r="S13" s="47"/>
    </row>
    <row r="14" spans="1:19" s="64" customFormat="1" ht="15.75" thickBot="1" x14ac:dyDescent="0.3">
      <c r="A14" s="63"/>
      <c r="B14" s="37">
        <f>ROW(B14) - ROW($B$9)</f>
        <v>5</v>
      </c>
      <c r="C14" s="54" t="s">
        <v>7</v>
      </c>
      <c r="D14" s="84" t="s">
        <v>16</v>
      </c>
      <c r="E14" s="85" t="s">
        <v>55</v>
      </c>
      <c r="F14" s="66" t="s">
        <v>98</v>
      </c>
      <c r="G14" s="85" t="s">
        <v>128</v>
      </c>
      <c r="H14" s="66" t="s">
        <v>157</v>
      </c>
      <c r="I14" s="66" t="s">
        <v>229</v>
      </c>
      <c r="J14" s="66" t="s">
        <v>174</v>
      </c>
      <c r="K14" s="86" t="s">
        <v>189</v>
      </c>
      <c r="L14" s="66">
        <v>2</v>
      </c>
      <c r="M14" s="86">
        <f t="shared" si="1"/>
        <v>10000</v>
      </c>
      <c r="N14" s="66">
        <v>10100</v>
      </c>
      <c r="O14" s="87" t="s">
        <v>227</v>
      </c>
      <c r="P14" s="88">
        <v>1.1661999999999999</v>
      </c>
      <c r="Q14" s="88">
        <f t="shared" si="2"/>
        <v>11778.619999999999</v>
      </c>
      <c r="R14" s="85"/>
      <c r="S14" s="88"/>
    </row>
    <row r="15" spans="1:19" s="64" customFormat="1" ht="24.75" thickBot="1" x14ac:dyDescent="0.3">
      <c r="A15" s="63"/>
      <c r="B15" s="37">
        <f>ROW(B15) - ROW($B$9)</f>
        <v>6</v>
      </c>
      <c r="C15" s="52" t="s">
        <v>7</v>
      </c>
      <c r="D15" s="72" t="s">
        <v>266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267</v>
      </c>
      <c r="J15" s="45" t="s">
        <v>268</v>
      </c>
      <c r="K15" s="58" t="s">
        <v>190</v>
      </c>
      <c r="L15" s="59">
        <v>16</v>
      </c>
      <c r="M15" s="58">
        <f t="shared" si="1"/>
        <v>80000</v>
      </c>
      <c r="N15" s="45">
        <v>80100</v>
      </c>
      <c r="O15" s="62" t="s">
        <v>227</v>
      </c>
      <c r="P15" s="47">
        <v>1.2999999999999999E-3</v>
      </c>
      <c r="Q15" s="47">
        <f t="shared" si="2"/>
        <v>104.13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250</v>
      </c>
      <c r="K16" s="68" t="s">
        <v>191</v>
      </c>
      <c r="L16" s="61">
        <v>1</v>
      </c>
      <c r="M16" s="68">
        <f t="shared" si="1"/>
        <v>5000</v>
      </c>
      <c r="N16" s="61">
        <v>5010</v>
      </c>
      <c r="O16" s="69" t="s">
        <v>227</v>
      </c>
      <c r="P16" s="70">
        <v>1.9199999999999998E-2</v>
      </c>
      <c r="Q16" s="70">
        <f t="shared" si="2"/>
        <v>96.191999999999993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58</v>
      </c>
      <c r="F17" s="78" t="s">
        <v>96</v>
      </c>
      <c r="G17" s="79" t="s">
        <v>131</v>
      </c>
      <c r="H17" s="78" t="s">
        <v>155</v>
      </c>
      <c r="I17" s="78" t="s">
        <v>229</v>
      </c>
      <c r="J17" s="78" t="s">
        <v>251</v>
      </c>
      <c r="K17" s="80" t="s">
        <v>192</v>
      </c>
      <c r="L17" s="81">
        <v>6</v>
      </c>
      <c r="M17" s="80">
        <f t="shared" si="1"/>
        <v>30000</v>
      </c>
      <c r="N17" s="78">
        <v>30100</v>
      </c>
      <c r="O17" s="82" t="s">
        <v>227</v>
      </c>
      <c r="P17" s="83">
        <v>1.6999999999999999E-3</v>
      </c>
      <c r="Q17" s="83">
        <f t="shared" si="2"/>
        <v>51.169999999999995</v>
      </c>
      <c r="R17" s="79"/>
      <c r="S17" s="83"/>
    </row>
    <row r="18" spans="1:19" s="64" customFormat="1" ht="15.75" thickBot="1" x14ac:dyDescent="0.3">
      <c r="A18" s="63"/>
      <c r="B18" s="37">
        <f>ROW(B18) - ROW($B$9)</f>
        <v>9</v>
      </c>
      <c r="C18" s="53" t="s">
        <v>7</v>
      </c>
      <c r="D18" s="71" t="s">
        <v>263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269</v>
      </c>
      <c r="J18" s="61" t="s">
        <v>270</v>
      </c>
      <c r="K18" s="68" t="s">
        <v>193</v>
      </c>
      <c r="L18" s="61">
        <v>7</v>
      </c>
      <c r="M18" s="68">
        <f t="shared" si="1"/>
        <v>35000</v>
      </c>
      <c r="N18" s="61">
        <v>35100</v>
      </c>
      <c r="O18" s="69" t="s">
        <v>227</v>
      </c>
      <c r="P18" s="70">
        <v>2.3800000000000002E-2</v>
      </c>
      <c r="Q18" s="70">
        <f>P18*N18</f>
        <v>835.38000000000011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60</v>
      </c>
      <c r="F19" s="78" t="s">
        <v>95</v>
      </c>
      <c r="G19" s="79" t="s">
        <v>132</v>
      </c>
      <c r="H19" s="78" t="s">
        <v>155</v>
      </c>
      <c r="I19" s="78" t="s">
        <v>229</v>
      </c>
      <c r="J19" s="78" t="s">
        <v>175</v>
      </c>
      <c r="K19" s="80" t="s">
        <v>194</v>
      </c>
      <c r="L19" s="81">
        <v>4</v>
      </c>
      <c r="M19" s="80">
        <f t="shared" si="1"/>
        <v>20000</v>
      </c>
      <c r="N19" s="78">
        <v>20100</v>
      </c>
      <c r="O19" s="82" t="s">
        <v>227</v>
      </c>
      <c r="P19" s="83">
        <v>1.5E-3</v>
      </c>
      <c r="Q19" s="83">
        <f t="shared" si="2"/>
        <v>30.150000000000002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252</v>
      </c>
      <c r="K20" s="68" t="s">
        <v>195</v>
      </c>
      <c r="L20" s="61">
        <v>1</v>
      </c>
      <c r="M20" s="68">
        <f t="shared" si="1"/>
        <v>5000</v>
      </c>
      <c r="N20" s="61">
        <v>5100</v>
      </c>
      <c r="O20" s="69" t="s">
        <v>227</v>
      </c>
      <c r="P20" s="70">
        <v>2.2000000000000001E-3</v>
      </c>
      <c r="Q20" s="70">
        <f t="shared" si="2"/>
        <v>11.22</v>
      </c>
      <c r="R20" s="67"/>
      <c r="S20" s="70"/>
    </row>
    <row r="21" spans="1:19" s="64" customFormat="1" ht="15.75" thickBot="1" x14ac:dyDescent="0.3">
      <c r="A21" s="63"/>
      <c r="B21" s="37">
        <f>ROW(B21) - ROW($B$9)</f>
        <v>12</v>
      </c>
      <c r="C21" s="76" t="s">
        <v>7</v>
      </c>
      <c r="D21" s="77" t="s">
        <v>21</v>
      </c>
      <c r="E21" s="78" t="s">
        <v>63</v>
      </c>
      <c r="F21" s="78" t="s">
        <v>95</v>
      </c>
      <c r="G21" s="79" t="s">
        <v>135</v>
      </c>
      <c r="H21" s="78" t="s">
        <v>155</v>
      </c>
      <c r="I21" s="78" t="s">
        <v>229</v>
      </c>
      <c r="J21" s="78" t="s">
        <v>177</v>
      </c>
      <c r="K21" s="80" t="s">
        <v>196</v>
      </c>
      <c r="L21" s="81">
        <v>8</v>
      </c>
      <c r="M21" s="80">
        <f t="shared" si="1"/>
        <v>40000</v>
      </c>
      <c r="N21" s="78">
        <v>40100</v>
      </c>
      <c r="O21" s="82" t="s">
        <v>227</v>
      </c>
      <c r="P21" s="83">
        <v>1.6000000000000001E-3</v>
      </c>
      <c r="Q21" s="83">
        <f t="shared" si="2"/>
        <v>64.16</v>
      </c>
      <c r="R21" s="79"/>
      <c r="S21" s="83"/>
    </row>
    <row r="22" spans="1:19" s="64" customFormat="1" ht="24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8">
        <f t="shared" si="1"/>
        <v>40000</v>
      </c>
      <c r="N22" s="61">
        <v>40100</v>
      </c>
      <c r="O22" s="69" t="s">
        <v>227</v>
      </c>
      <c r="P22" s="70">
        <v>5.9999999999999995E-4</v>
      </c>
      <c r="Q22" s="70">
        <f t="shared" si="2"/>
        <v>24.06</v>
      </c>
      <c r="R22" s="67"/>
      <c r="S22" s="70"/>
    </row>
    <row r="23" spans="1:19" s="64" customFormat="1" ht="15.75" thickBot="1" x14ac:dyDescent="0.3">
      <c r="A23" s="63"/>
      <c r="B23" s="37">
        <f t="shared" si="0"/>
        <v>14</v>
      </c>
      <c r="C23" s="76" t="s">
        <v>7</v>
      </c>
      <c r="D23" s="77" t="s">
        <v>23</v>
      </c>
      <c r="E23" s="78" t="s">
        <v>65</v>
      </c>
      <c r="F23" s="78" t="s">
        <v>100</v>
      </c>
      <c r="G23" s="79" t="s">
        <v>138</v>
      </c>
      <c r="H23" s="78" t="s">
        <v>158</v>
      </c>
      <c r="I23" s="78" t="s">
        <v>229</v>
      </c>
      <c r="J23" s="78" t="s">
        <v>253</v>
      </c>
      <c r="K23" s="80" t="s">
        <v>193</v>
      </c>
      <c r="L23" s="81">
        <v>8</v>
      </c>
      <c r="M23" s="80">
        <f t="shared" si="1"/>
        <v>40000</v>
      </c>
      <c r="N23" s="78">
        <v>40100</v>
      </c>
      <c r="O23" s="82" t="s">
        <v>227</v>
      </c>
      <c r="P23" s="83">
        <v>4.5999999999999999E-2</v>
      </c>
      <c r="Q23" s="83">
        <f t="shared" si="2"/>
        <v>1844.6</v>
      </c>
      <c r="R23" s="79"/>
      <c r="S23" s="83"/>
    </row>
    <row r="24" spans="1:19" s="64" customFormat="1" ht="15.75" thickBot="1" x14ac:dyDescent="0.3">
      <c r="A24" s="63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8">
        <f t="shared" si="1"/>
        <v>20000</v>
      </c>
      <c r="N24" s="61">
        <v>20100</v>
      </c>
      <c r="O24" s="69" t="s">
        <v>227</v>
      </c>
      <c r="P24" s="70">
        <v>1.38E-2</v>
      </c>
      <c r="Q24" s="70">
        <f t="shared" si="2"/>
        <v>277.38</v>
      </c>
      <c r="R24" s="67"/>
      <c r="S24" s="70"/>
    </row>
    <row r="25" spans="1:19" s="64" customFormat="1" ht="24.75" thickBot="1" x14ac:dyDescent="0.3">
      <c r="A25" s="63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58">
        <f t="shared" si="1"/>
        <v>5000</v>
      </c>
      <c r="N25" s="45">
        <v>5030</v>
      </c>
      <c r="O25" s="62" t="s">
        <v>227</v>
      </c>
      <c r="P25" s="47">
        <v>2.58E-2</v>
      </c>
      <c r="Q25" s="47">
        <f t="shared" ref="Q25:Q51" si="3">P25*N25</f>
        <v>129.774</v>
      </c>
      <c r="R25" s="46"/>
      <c r="S25" s="47"/>
    </row>
    <row r="26" spans="1:19" s="64" customFormat="1" ht="36.75" thickBot="1" x14ac:dyDescent="0.3">
      <c r="A26" s="63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8">
        <f t="shared" si="1"/>
        <v>5000</v>
      </c>
      <c r="N26" s="61">
        <v>5030</v>
      </c>
      <c r="O26" s="69" t="s">
        <v>227</v>
      </c>
      <c r="P26" s="70">
        <v>1.95E-2</v>
      </c>
      <c r="Q26" s="70">
        <f t="shared" si="3"/>
        <v>98.084999999999994</v>
      </c>
      <c r="R26" s="67"/>
      <c r="S26" s="70"/>
    </row>
    <row r="27" spans="1:19" s="64" customFormat="1" ht="15.75" thickBot="1" x14ac:dyDescent="0.3">
      <c r="A27" s="63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58">
        <f t="shared" si="1"/>
        <v>5000</v>
      </c>
      <c r="N27" s="45">
        <v>5060</v>
      </c>
      <c r="O27" s="62" t="s">
        <v>227</v>
      </c>
      <c r="P27" s="47">
        <v>1.46E-2</v>
      </c>
      <c r="Q27" s="47">
        <f t="shared" si="3"/>
        <v>73.876000000000005</v>
      </c>
      <c r="R27" s="46"/>
      <c r="S27" s="47"/>
    </row>
    <row r="28" spans="1:19" s="64" customFormat="1" ht="36.75" thickBot="1" x14ac:dyDescent="0.3">
      <c r="A28" s="63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8">
        <f t="shared" si="1"/>
        <v>5000</v>
      </c>
      <c r="N28" s="61">
        <v>5060</v>
      </c>
      <c r="O28" s="69" t="s">
        <v>227</v>
      </c>
      <c r="P28" s="70">
        <v>2.9499999999999998E-2</v>
      </c>
      <c r="Q28" s="70">
        <f t="shared" si="3"/>
        <v>149.26999999999998</v>
      </c>
      <c r="R28" s="67"/>
      <c r="S28" s="70"/>
    </row>
    <row r="29" spans="1:19" s="64" customFormat="1" ht="30.75" thickBot="1" x14ac:dyDescent="0.3">
      <c r="A29" s="63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58">
        <f t="shared" si="1"/>
        <v>40000</v>
      </c>
      <c r="N29" s="45">
        <v>40100</v>
      </c>
      <c r="O29" s="62" t="s">
        <v>235</v>
      </c>
      <c r="P29" s="47">
        <v>0.72</v>
      </c>
      <c r="Q29" s="47">
        <f t="shared" si="3"/>
        <v>28872</v>
      </c>
      <c r="R29" s="89" t="s">
        <v>277</v>
      </c>
      <c r="S29" s="47"/>
    </row>
    <row r="30" spans="1:19" s="64" customFormat="1" ht="60.75" thickBot="1" x14ac:dyDescent="0.3">
      <c r="A30" s="63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 t="s">
        <v>229</v>
      </c>
      <c r="J30" s="61" t="s">
        <v>229</v>
      </c>
      <c r="K30" s="68" t="s">
        <v>229</v>
      </c>
      <c r="L30" s="61">
        <v>4</v>
      </c>
      <c r="M30" s="68">
        <f t="shared" si="1"/>
        <v>20000</v>
      </c>
      <c r="N30" s="61">
        <v>20100</v>
      </c>
      <c r="O30" s="69" t="s">
        <v>235</v>
      </c>
      <c r="P30" s="70">
        <v>1</v>
      </c>
      <c r="Q30" s="70">
        <f t="shared" si="3"/>
        <v>20100</v>
      </c>
      <c r="R30" s="97" t="s">
        <v>279</v>
      </c>
      <c r="S30" s="70"/>
    </row>
    <row r="31" spans="1:19" s="64" customFormat="1" ht="24.75" thickBot="1" x14ac:dyDescent="0.3">
      <c r="A31" s="63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58">
        <f t="shared" si="1"/>
        <v>5000</v>
      </c>
      <c r="N31" s="45">
        <v>5060</v>
      </c>
      <c r="O31" s="62" t="s">
        <v>227</v>
      </c>
      <c r="P31" s="47">
        <v>1.4999999999999999E-2</v>
      </c>
      <c r="Q31" s="47">
        <f t="shared" si="3"/>
        <v>75.899999999999991</v>
      </c>
      <c r="R31" s="46"/>
      <c r="S31" s="47"/>
    </row>
    <row r="32" spans="1:19" s="64" customFormat="1" ht="15.75" thickBot="1" x14ac:dyDescent="0.3">
      <c r="A32" s="63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2">
        <f t="shared" si="1"/>
        <v>25000</v>
      </c>
      <c r="N32" s="91"/>
      <c r="O32" s="93" t="s">
        <v>229</v>
      </c>
      <c r="P32" s="94"/>
      <c r="Q32" s="94" t="s">
        <v>229</v>
      </c>
      <c r="R32" s="74"/>
      <c r="S32" s="94"/>
    </row>
    <row r="33" spans="1:19" s="64" customFormat="1" ht="15.75" thickBot="1" x14ac:dyDescent="0.3">
      <c r="A33" s="63"/>
      <c r="B33" s="37">
        <f t="shared" si="0"/>
        <v>24</v>
      </c>
      <c r="C33" s="52" t="s">
        <v>208</v>
      </c>
      <c r="D33" s="72" t="s">
        <v>33</v>
      </c>
      <c r="E33" s="45" t="s">
        <v>75</v>
      </c>
      <c r="F33" s="78" t="s">
        <v>109</v>
      </c>
      <c r="G33" s="73" t="s">
        <v>142</v>
      </c>
      <c r="H33" s="78" t="s">
        <v>162</v>
      </c>
      <c r="I33" s="78" t="s">
        <v>242</v>
      </c>
      <c r="J33" s="78" t="s">
        <v>243</v>
      </c>
      <c r="K33" s="80" t="s">
        <v>197</v>
      </c>
      <c r="L33" s="59">
        <v>3</v>
      </c>
      <c r="M33" s="58">
        <f t="shared" si="1"/>
        <v>15000</v>
      </c>
      <c r="N33" s="45">
        <v>15100</v>
      </c>
      <c r="O33" s="82" t="s">
        <v>227</v>
      </c>
      <c r="P33" s="47">
        <v>6.9999999999999999E-4</v>
      </c>
      <c r="Q33" s="47">
        <f t="shared" si="3"/>
        <v>10.57</v>
      </c>
      <c r="R33" s="46"/>
      <c r="S33" s="47"/>
    </row>
    <row r="34" spans="1:19" s="64" customFormat="1" ht="15.75" thickBot="1" x14ac:dyDescent="0.3">
      <c r="A34" s="63"/>
      <c r="B34" s="37">
        <f>ROW(B34) - ROW($B$9)</f>
        <v>25</v>
      </c>
      <c r="C34" s="54" t="s">
        <v>208</v>
      </c>
      <c r="D34" s="84" t="s">
        <v>34</v>
      </c>
      <c r="E34" s="85" t="s">
        <v>76</v>
      </c>
      <c r="F34" s="66" t="s">
        <v>110</v>
      </c>
      <c r="G34" s="85" t="s">
        <v>143</v>
      </c>
      <c r="H34" s="66" t="s">
        <v>155</v>
      </c>
      <c r="I34" s="66" t="s">
        <v>229</v>
      </c>
      <c r="J34" s="66" t="s">
        <v>254</v>
      </c>
      <c r="K34" s="86" t="s">
        <v>198</v>
      </c>
      <c r="L34" s="66">
        <v>8</v>
      </c>
      <c r="M34" s="86">
        <f t="shared" si="1"/>
        <v>40000</v>
      </c>
      <c r="N34" s="66">
        <v>40100</v>
      </c>
      <c r="O34" s="87" t="s">
        <v>227</v>
      </c>
      <c r="P34" s="88">
        <v>6.9999999999999999E-4</v>
      </c>
      <c r="Q34" s="88">
        <f t="shared" si="3"/>
        <v>28.07</v>
      </c>
      <c r="R34" s="85"/>
      <c r="S34" s="88"/>
    </row>
    <row r="35" spans="1:19" s="64" customFormat="1" ht="15.75" thickBot="1" x14ac:dyDescent="0.3">
      <c r="A35" s="63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246</v>
      </c>
      <c r="K35" s="58" t="s">
        <v>199</v>
      </c>
      <c r="L35" s="59">
        <v>3</v>
      </c>
      <c r="M35" s="58">
        <f t="shared" si="1"/>
        <v>15000</v>
      </c>
      <c r="N35" s="45">
        <v>15100</v>
      </c>
      <c r="O35" s="62" t="s">
        <v>227</v>
      </c>
      <c r="P35" s="47">
        <v>5.9999999999999995E-4</v>
      </c>
      <c r="Q35" s="47">
        <f t="shared" si="3"/>
        <v>9.0599999999999987</v>
      </c>
      <c r="R35" s="46"/>
      <c r="S35" s="47"/>
    </row>
    <row r="36" spans="1:19" s="64" customFormat="1" ht="24.75" thickBot="1" x14ac:dyDescent="0.3">
      <c r="A36" s="63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8">
        <f t="shared" si="1"/>
        <v>50000</v>
      </c>
      <c r="N36" s="61">
        <v>50100</v>
      </c>
      <c r="O36" s="69" t="s">
        <v>227</v>
      </c>
      <c r="P36" s="70">
        <v>5.0000000000000001E-4</v>
      </c>
      <c r="Q36" s="70">
        <f t="shared" si="3"/>
        <v>25.05</v>
      </c>
      <c r="R36" s="67"/>
      <c r="S36" s="70"/>
    </row>
    <row r="37" spans="1:19" s="64" customFormat="1" ht="15.75" thickBot="1" x14ac:dyDescent="0.3">
      <c r="A37" s="63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247</v>
      </c>
      <c r="K37" s="58" t="s">
        <v>201</v>
      </c>
      <c r="L37" s="59">
        <v>2</v>
      </c>
      <c r="M37" s="58">
        <f t="shared" si="1"/>
        <v>10000</v>
      </c>
      <c r="N37" s="45">
        <v>10100</v>
      </c>
      <c r="O37" s="62" t="s">
        <v>227</v>
      </c>
      <c r="P37" s="47">
        <v>5.9999999999999995E-4</v>
      </c>
      <c r="Q37" s="47">
        <f t="shared" si="3"/>
        <v>6.06</v>
      </c>
      <c r="R37" s="46"/>
      <c r="S37" s="47"/>
    </row>
    <row r="38" spans="1:19" s="64" customFormat="1" ht="36.75" thickBot="1" x14ac:dyDescent="0.3">
      <c r="A38" s="63"/>
      <c r="B38" s="37">
        <f>ROW(B38) - ROW($B$9)</f>
        <v>29</v>
      </c>
      <c r="C38" s="53" t="s">
        <v>208</v>
      </c>
      <c r="D38" s="71" t="s">
        <v>271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16</v>
      </c>
      <c r="M38" s="68">
        <f t="shared" si="1"/>
        <v>80000</v>
      </c>
      <c r="N38" s="61">
        <v>80100</v>
      </c>
      <c r="O38" s="69" t="s">
        <v>227</v>
      </c>
      <c r="P38" s="70">
        <v>2.9999999999999997E-4</v>
      </c>
      <c r="Q38" s="70">
        <f t="shared" si="3"/>
        <v>24.029999999999998</v>
      </c>
      <c r="R38" s="67"/>
      <c r="S38" s="70"/>
    </row>
    <row r="39" spans="1:19" s="64" customFormat="1" ht="15.75" thickBot="1" x14ac:dyDescent="0.3">
      <c r="A39" s="63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255</v>
      </c>
      <c r="K39" s="58" t="s">
        <v>203</v>
      </c>
      <c r="L39" s="59">
        <v>4</v>
      </c>
      <c r="M39" s="58">
        <f t="shared" si="1"/>
        <v>20000</v>
      </c>
      <c r="N39" s="45">
        <v>20100</v>
      </c>
      <c r="O39" s="62" t="s">
        <v>227</v>
      </c>
      <c r="P39" s="47">
        <v>8.9999999999999998E-4</v>
      </c>
      <c r="Q39" s="47">
        <f t="shared" si="3"/>
        <v>18.09</v>
      </c>
      <c r="R39" s="46"/>
      <c r="S39" s="47"/>
    </row>
    <row r="40" spans="1:19" s="64" customFormat="1" ht="216.75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530000</v>
      </c>
      <c r="N40" s="91"/>
      <c r="O40" s="93" t="s">
        <v>229</v>
      </c>
      <c r="P40" s="94"/>
      <c r="Q40" s="94" t="s">
        <v>229</v>
      </c>
      <c r="R40" s="74"/>
      <c r="S40" s="94"/>
    </row>
    <row r="41" spans="1:19" s="64" customFormat="1" ht="36.75" thickBot="1" x14ac:dyDescent="0.3">
      <c r="A41" s="63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58">
        <f t="shared" si="1"/>
        <v>5000</v>
      </c>
      <c r="N41" s="45">
        <v>5050</v>
      </c>
      <c r="O41" s="62" t="s">
        <v>235</v>
      </c>
      <c r="P41" s="47">
        <v>2.1999999999999999E-2</v>
      </c>
      <c r="Q41" s="47">
        <f t="shared" si="3"/>
        <v>111.1</v>
      </c>
      <c r="R41" s="89" t="s">
        <v>277</v>
      </c>
      <c r="S41" s="47"/>
    </row>
    <row r="42" spans="1:19" s="64" customFormat="1" ht="30.75" thickBot="1" x14ac:dyDescent="0.3">
      <c r="A42" s="63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183</v>
      </c>
      <c r="K42" s="68" t="s">
        <v>229</v>
      </c>
      <c r="L42" s="61">
        <v>1</v>
      </c>
      <c r="M42" s="68">
        <f t="shared" si="1"/>
        <v>5000</v>
      </c>
      <c r="N42" s="61">
        <v>5020</v>
      </c>
      <c r="O42" s="69" t="s">
        <v>235</v>
      </c>
      <c r="P42" s="70">
        <v>3.12</v>
      </c>
      <c r="Q42" s="70">
        <f t="shared" si="3"/>
        <v>15662.4</v>
      </c>
      <c r="R42" s="95" t="s">
        <v>277</v>
      </c>
      <c r="S42" s="70"/>
    </row>
    <row r="43" spans="1:19" s="64" customFormat="1" ht="30.75" thickBot="1" x14ac:dyDescent="0.3">
      <c r="A43" s="63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 t="s">
        <v>229</v>
      </c>
      <c r="J43" s="45" t="s">
        <v>229</v>
      </c>
      <c r="K43" s="58" t="s">
        <v>229</v>
      </c>
      <c r="L43" s="59">
        <v>8</v>
      </c>
      <c r="M43" s="58">
        <f t="shared" si="1"/>
        <v>40000</v>
      </c>
      <c r="N43" s="45">
        <v>40100</v>
      </c>
      <c r="O43" s="62" t="s">
        <v>235</v>
      </c>
      <c r="P43" s="47">
        <v>2.206</v>
      </c>
      <c r="Q43" s="47">
        <f t="shared" si="3"/>
        <v>88460.599999999991</v>
      </c>
      <c r="R43" s="96" t="s">
        <v>278</v>
      </c>
      <c r="S43" s="47"/>
    </row>
    <row r="44" spans="1:19" s="64" customFormat="1" ht="36.75" thickBot="1" x14ac:dyDescent="0.3">
      <c r="A44" s="63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256</v>
      </c>
      <c r="K44" s="68" t="s">
        <v>229</v>
      </c>
      <c r="L44" s="61">
        <v>1</v>
      </c>
      <c r="M44" s="68">
        <f t="shared" si="1"/>
        <v>5000</v>
      </c>
      <c r="N44" s="61">
        <v>5020</v>
      </c>
      <c r="O44" s="69" t="s">
        <v>227</v>
      </c>
      <c r="P44" s="70">
        <v>0.29759999999999998</v>
      </c>
      <c r="Q44" s="70">
        <f t="shared" si="3"/>
        <v>1493.9519999999998</v>
      </c>
      <c r="R44" s="67"/>
      <c r="S44" s="70"/>
    </row>
    <row r="45" spans="1:19" s="64" customFormat="1" ht="30.75" thickBot="1" x14ac:dyDescent="0.3">
      <c r="A45" s="63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 t="s">
        <v>229</v>
      </c>
      <c r="J45" s="45" t="s">
        <v>229</v>
      </c>
      <c r="K45" s="58" t="s">
        <v>229</v>
      </c>
      <c r="L45" s="59">
        <v>1</v>
      </c>
      <c r="M45" s="58">
        <f t="shared" si="1"/>
        <v>5000</v>
      </c>
      <c r="N45" s="45">
        <v>5020</v>
      </c>
      <c r="O45" s="62" t="s">
        <v>235</v>
      </c>
      <c r="P45" s="47">
        <v>8.1199999999999992</v>
      </c>
      <c r="Q45" s="47">
        <f t="shared" si="3"/>
        <v>40762.399999999994</v>
      </c>
      <c r="R45" s="89"/>
      <c r="S45" s="47"/>
    </row>
    <row r="46" spans="1:19" s="64" customFormat="1" ht="24.75" thickBot="1" x14ac:dyDescent="0.3">
      <c r="A46" s="63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244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8">
        <f t="shared" si="1"/>
        <v>10000</v>
      </c>
      <c r="N46" s="61">
        <v>10040</v>
      </c>
      <c r="O46" s="69" t="s">
        <v>227</v>
      </c>
      <c r="P46" s="70">
        <v>4.78</v>
      </c>
      <c r="Q46" s="70">
        <f t="shared" si="3"/>
        <v>47991.200000000004</v>
      </c>
      <c r="R46" s="67"/>
      <c r="S46" s="70"/>
    </row>
    <row r="47" spans="1:19" s="64" customFormat="1" ht="36.75" thickBot="1" x14ac:dyDescent="0.3">
      <c r="A47" s="63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245</v>
      </c>
      <c r="G47" s="46" t="s">
        <v>119</v>
      </c>
      <c r="H47" s="45" t="s">
        <v>168</v>
      </c>
      <c r="I47" s="45" t="s">
        <v>229</v>
      </c>
      <c r="J47" s="45" t="s">
        <v>229</v>
      </c>
      <c r="K47" s="58" t="s">
        <v>229</v>
      </c>
      <c r="L47" s="59">
        <v>1</v>
      </c>
      <c r="M47" s="58">
        <f t="shared" si="1"/>
        <v>5000</v>
      </c>
      <c r="N47" s="45">
        <v>5020</v>
      </c>
      <c r="O47" s="62" t="s">
        <v>235</v>
      </c>
      <c r="P47" s="47">
        <v>0.03</v>
      </c>
      <c r="Q47" s="47">
        <f t="shared" si="3"/>
        <v>150.6</v>
      </c>
      <c r="R47" s="89"/>
      <c r="S47" s="47"/>
    </row>
    <row r="48" spans="1:19" s="64" customFormat="1" ht="30.75" thickBot="1" x14ac:dyDescent="0.3">
      <c r="A48" s="63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 t="s">
        <v>229</v>
      </c>
      <c r="K48" s="68" t="s">
        <v>229</v>
      </c>
      <c r="L48" s="61">
        <v>1</v>
      </c>
      <c r="M48" s="68">
        <f t="shared" si="1"/>
        <v>5000</v>
      </c>
      <c r="N48" s="61">
        <v>5020</v>
      </c>
      <c r="O48" s="69" t="s">
        <v>235</v>
      </c>
      <c r="P48" s="70">
        <v>3.383</v>
      </c>
      <c r="Q48" s="70">
        <f t="shared" si="3"/>
        <v>16982.66</v>
      </c>
      <c r="R48" s="97" t="s">
        <v>278</v>
      </c>
      <c r="S48" s="70"/>
    </row>
    <row r="49" spans="1:19" s="64" customFormat="1" ht="30.75" thickBot="1" x14ac:dyDescent="0.3">
      <c r="A49" s="63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 t="s">
        <v>229</v>
      </c>
      <c r="K49" s="58" t="s">
        <v>229</v>
      </c>
      <c r="L49" s="59">
        <v>4</v>
      </c>
      <c r="M49" s="58">
        <f t="shared" si="1"/>
        <v>20000</v>
      </c>
      <c r="N49" s="45">
        <v>20050</v>
      </c>
      <c r="O49" s="62" t="s">
        <v>235</v>
      </c>
      <c r="P49" s="47">
        <v>1.2649999999999999</v>
      </c>
      <c r="Q49" s="47">
        <f t="shared" si="3"/>
        <v>25363.249999999996</v>
      </c>
      <c r="R49" s="96" t="s">
        <v>278</v>
      </c>
      <c r="S49" s="47"/>
    </row>
    <row r="50" spans="1:19" s="64" customFormat="1" ht="48.75" thickBot="1" x14ac:dyDescent="0.3">
      <c r="A50" s="63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238</v>
      </c>
      <c r="K50" s="68" t="s">
        <v>239</v>
      </c>
      <c r="L50" s="61">
        <v>1</v>
      </c>
      <c r="M50" s="68">
        <f t="shared" si="1"/>
        <v>5000</v>
      </c>
      <c r="N50" s="61">
        <v>5050</v>
      </c>
      <c r="O50" s="69" t="s">
        <v>227</v>
      </c>
      <c r="P50" s="70">
        <v>0.10050000000000001</v>
      </c>
      <c r="Q50" s="70">
        <f t="shared" si="3"/>
        <v>507.52500000000003</v>
      </c>
      <c r="R50" s="67"/>
      <c r="S50" s="70"/>
    </row>
    <row r="51" spans="1:19" s="64" customFormat="1" ht="36.75" thickBot="1" x14ac:dyDescent="0.3">
      <c r="A51" s="63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240</v>
      </c>
      <c r="K51" s="58" t="s">
        <v>241</v>
      </c>
      <c r="L51" s="75">
        <v>2</v>
      </c>
      <c r="M51" s="58">
        <f t="shared" si="1"/>
        <v>10000</v>
      </c>
      <c r="N51" s="45">
        <v>10050</v>
      </c>
      <c r="O51" s="62" t="s">
        <v>227</v>
      </c>
      <c r="P51" s="47">
        <v>4.0500000000000001E-2</v>
      </c>
      <c r="Q51" s="47">
        <f t="shared" si="3"/>
        <v>407.02500000000003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6" t="s">
        <v>221</v>
      </c>
      <c r="O52" s="107"/>
      <c r="P52" s="107"/>
      <c r="Q52" s="56">
        <f>SUM(Q10:Q51)</f>
        <v>305117.163</v>
      </c>
      <c r="R52" s="102"/>
      <c r="S52" s="103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6" t="s">
        <v>222</v>
      </c>
      <c r="O53" s="107"/>
      <c r="P53" s="107"/>
      <c r="Q53" s="57">
        <f>Q52/5000</f>
        <v>61.0234326</v>
      </c>
      <c r="R53" s="104"/>
      <c r="S53" s="105"/>
    </row>
  </sheetData>
  <mergeCells count="5">
    <mergeCell ref="K1:S1"/>
    <mergeCell ref="S3:S8"/>
    <mergeCell ref="N52:P52"/>
    <mergeCell ref="R52:S53"/>
    <mergeCell ref="N53:P53"/>
  </mergeCells>
  <conditionalFormatting sqref="O1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{888FBCDD-299D-4F5C-AC20-655C334B1BAC}</x14:id>
        </ext>
      </extLst>
    </cfRule>
  </conditionalFormatting>
  <conditionalFormatting sqref="O1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{7CD6FF60-0B03-430E-8EFE-309E8ABABCA5}</x14:id>
        </ext>
      </extLst>
    </cfRule>
  </conditionalFormatting>
  <conditionalFormatting sqref="O25:O2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{0FC41752-8B12-473B-99D8-C3F674447E07}</x14:id>
        </ext>
      </extLst>
    </cfRule>
  </conditionalFormatting>
  <conditionalFormatting sqref="O4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{4EFC1A43-2EE7-4495-9106-1567B6E31006}</x14:id>
        </ext>
      </extLst>
    </cfRule>
  </conditionalFormatting>
  <conditionalFormatting sqref="O4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{271CD8BA-5173-4401-B5D0-49CBA1F96042}</x14:id>
        </ext>
      </extLst>
    </cfRule>
  </conditionalFormatting>
  <conditionalFormatting sqref="O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{D9079D55-262D-4F37-B2E3-96C8FE644A32}</x14:id>
        </ext>
      </extLst>
    </cfRule>
  </conditionalFormatting>
  <hyperlinks>
    <hyperlink ref="O25" r:id="rId1" xr:uid="{A27C862F-18F0-414E-AA8D-2898A66A92FE}"/>
    <hyperlink ref="O26" r:id="rId2" xr:uid="{6FBFD1C4-482C-455A-AFDA-16DD91F590C0}"/>
    <hyperlink ref="O28" r:id="rId3" xr:uid="{CF64CBB6-FC18-4CB1-87A0-4111CB47E3E1}"/>
    <hyperlink ref="O31" r:id="rId4" xr:uid="{158427D7-D8CA-43FE-AFFB-EF9BA9336FF0}"/>
    <hyperlink ref="O46" r:id="rId5" xr:uid="{56CEDD64-C5D3-4056-9F8A-E6CF4236300C}"/>
    <hyperlink ref="O33" r:id="rId6" xr:uid="{3EC30965-8FF2-4122-92ED-196F57D35EA1}"/>
    <hyperlink ref="O37" r:id="rId7" xr:uid="{E09E614F-0B24-4621-95CC-32DE85E40D90}"/>
    <hyperlink ref="O27" r:id="rId8" xr:uid="{ACB6F6A4-0C21-4DBD-9962-B15DF1B7367E}"/>
    <hyperlink ref="O34" r:id="rId9" xr:uid="{FB317990-9A6D-468C-9FD1-D6CF2B2835D8}"/>
    <hyperlink ref="O35" r:id="rId10" xr:uid="{7FDD2B95-AAE1-4720-A377-0691A800B3EB}"/>
    <hyperlink ref="O36" r:id="rId11" xr:uid="{80B13D6B-62B5-4925-BF28-902E9C5DBB14}"/>
    <hyperlink ref="O38" r:id="rId12" xr:uid="{5DC89305-5A5D-4C98-8CDC-999B45CE207A}"/>
    <hyperlink ref="O39" r:id="rId13" xr:uid="{F0954EE6-EB24-40B5-951D-CDF505B8A795}"/>
    <hyperlink ref="O44" r:id="rId14" xr:uid="{49544DB8-79A0-4AD4-B110-6458441F3A9F}"/>
    <hyperlink ref="O50" r:id="rId15" xr:uid="{D770D024-E5D2-4683-97A4-B80BAC74C6DF}"/>
    <hyperlink ref="O51" r:id="rId16" xr:uid="{74D85B11-B2EF-42DB-A13B-8E5F2C7D65C5}"/>
    <hyperlink ref="O14" r:id="rId17" xr:uid="{1CB83DFC-54F3-4028-8E1E-09418CA64831}"/>
    <hyperlink ref="O10" r:id="rId18" xr:uid="{11C0AA53-3CC1-4CA8-BC8E-EA79C5F6C391}"/>
    <hyperlink ref="O11" r:id="rId19" xr:uid="{6A106D2F-3961-4EDE-8F12-FA92C3426ECE}"/>
    <hyperlink ref="O13" r:id="rId20" xr:uid="{B9EF9F33-7141-4884-A0CF-836FC7A92669}"/>
    <hyperlink ref="O16" r:id="rId21" xr:uid="{5755DACF-36D9-40E4-B729-6401E1EFD638}"/>
    <hyperlink ref="O17" r:id="rId22" xr:uid="{FA68E91E-7971-4D93-8266-262F4B8C76B1}"/>
    <hyperlink ref="O19" r:id="rId23" xr:uid="{AB54CD27-A0ED-430E-931E-2E3BB2779236}"/>
    <hyperlink ref="O12" r:id="rId24" xr:uid="{E0442F91-7A7C-45AC-95E5-79180D190660}"/>
    <hyperlink ref="O20" r:id="rId25" xr:uid="{AEC25953-76C7-4CFC-AD0E-399D1C1BECD1}"/>
    <hyperlink ref="O21" r:id="rId26" xr:uid="{3B547896-B09A-4F1E-B377-CAE4E72962A5}"/>
    <hyperlink ref="O22" r:id="rId27" xr:uid="{35646BB1-5AA8-4C6F-B76E-EC8444B771AF}"/>
    <hyperlink ref="O23" r:id="rId28" xr:uid="{A4139BCF-83A8-42C9-8FEE-2A5B55572CD0}"/>
    <hyperlink ref="O24" r:id="rId29" xr:uid="{E7BB18FE-751F-414A-81AA-F5059F24E2AD}"/>
    <hyperlink ref="O15" r:id="rId30" xr:uid="{6C4052E8-5365-49C8-94FF-FDF3A71A90A6}"/>
    <hyperlink ref="O18" r:id="rId31" xr:uid="{F3175E97-F14C-4B7F-A205-C10794218E90}"/>
  </hyperlinks>
  <pageMargins left="0.7" right="0.7" top="0.75" bottom="0.75" header="0.3" footer="0.3"/>
  <drawing r:id="rId3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8FBCDD-299D-4F5C-AC20-655C334B1B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7CD6FF60-0B03-430E-8EFE-309E8ABABC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0FC41752-8B12-473B-99D8-C3F674447E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O25:O26</xm:sqref>
        </x14:conditionalFormatting>
        <x14:conditionalFormatting xmlns:xm="http://schemas.microsoft.com/office/excel/2006/main">
          <x14:cfRule type="dataBar" id="{4EFC1A43-2EE7-4495-9106-1567B6E310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O45</xm:sqref>
        </x14:conditionalFormatting>
        <x14:conditionalFormatting xmlns:xm="http://schemas.microsoft.com/office/excel/2006/main">
          <x14:cfRule type="dataBar" id="{271CD8BA-5173-4401-B5D0-49CBA1F96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O42</xm:sqref>
        </x14:conditionalFormatting>
        <x14:conditionalFormatting xmlns:xm="http://schemas.microsoft.com/office/excel/2006/main">
          <x14:cfRule type="dataBar" id="{D9079D55-262D-4F37-B2E3-96C8FE644A3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 Boards </vt:lpstr>
      <vt:lpstr>1K Boards</vt:lpstr>
      <vt:lpstr>5K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2023-01-31T15:49:09Z</dcterms:modified>
</cp:coreProperties>
</file>