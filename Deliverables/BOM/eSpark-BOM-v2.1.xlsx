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elih-SoundSensor\Deliverables\BOM\"/>
    </mc:Choice>
  </mc:AlternateContent>
  <bookViews>
    <workbookView xWindow="-120" yWindow="-120" windowWidth="29040" windowHeight="15840"/>
  </bookViews>
  <sheets>
    <sheet name="5 Boards" sheetId="4" r:id="rId1"/>
    <sheet name="10 Boards" sheetId="5" r:id="rId2"/>
    <sheet name="20 Boards " sheetId="1" r:id="rId3"/>
    <sheet name="1K Boards" sheetId="2" r:id="rId4"/>
    <sheet name="5K Boards" sheetId="3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0" i="5" l="1"/>
  <c r="Q51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10" i="5"/>
  <c r="Q49" i="5"/>
  <c r="B49" i="5"/>
  <c r="Q48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B30" i="5"/>
  <c r="Q29" i="5"/>
  <c r="B29" i="5"/>
  <c r="Q28" i="5"/>
  <c r="B28" i="5"/>
  <c r="Q27" i="5"/>
  <c r="B27" i="5"/>
  <c r="Q26" i="5"/>
  <c r="B26" i="5"/>
  <c r="Q25" i="5"/>
  <c r="B25" i="5"/>
  <c r="Q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Q24" i="4" l="1"/>
  <c r="M24" i="4"/>
  <c r="M11" i="4"/>
  <c r="M12" i="4"/>
  <c r="M13" i="4"/>
  <c r="M14" i="4"/>
  <c r="M15" i="4"/>
  <c r="M16" i="4"/>
  <c r="M18" i="4"/>
  <c r="M19" i="4"/>
  <c r="M20" i="4"/>
  <c r="M21" i="4"/>
  <c r="M17" i="4"/>
  <c r="M22" i="4"/>
  <c r="M23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1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B30" i="4"/>
  <c r="Q29" i="4"/>
  <c r="B29" i="4"/>
  <c r="Q28" i="4"/>
  <c r="B28" i="4"/>
  <c r="Q27" i="4"/>
  <c r="B27" i="4"/>
  <c r="Q26" i="4"/>
  <c r="B26" i="4"/>
  <c r="Q25" i="4"/>
  <c r="B25" i="4"/>
  <c r="Q23" i="4"/>
  <c r="B23" i="4"/>
  <c r="Q22" i="4"/>
  <c r="B22" i="4"/>
  <c r="Q17" i="4"/>
  <c r="B17" i="4"/>
  <c r="Q21" i="4"/>
  <c r="B21" i="4"/>
  <c r="Q20" i="4"/>
  <c r="B20" i="4"/>
  <c r="Q19" i="4"/>
  <c r="B19" i="4"/>
  <c r="Q18" i="4"/>
  <c r="B18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10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10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0" i="1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2" i="1"/>
  <c r="Q33" i="1"/>
  <c r="Q34" i="1"/>
  <c r="Q35" i="1"/>
  <c r="Q36" i="1"/>
  <c r="Q37" i="1"/>
  <c r="Q38" i="1"/>
  <c r="Q41" i="1"/>
  <c r="Q42" i="1"/>
  <c r="Q43" i="1"/>
  <c r="Q44" i="1"/>
  <c r="Q45" i="1"/>
  <c r="Q46" i="1"/>
  <c r="Q47" i="1"/>
  <c r="Q48" i="1"/>
  <c r="Q49" i="1"/>
  <c r="Q50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10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0" i="4" l="1"/>
  <c r="Q51" i="4" s="1"/>
  <c r="Q51" i="1"/>
  <c r="Q52" i="1" s="1"/>
  <c r="Q51" i="2"/>
  <c r="Q52" i="2" s="1"/>
  <c r="Q51" i="3"/>
  <c r="Q52" i="3" s="1"/>
</calcChain>
</file>

<file path=xl/sharedStrings.xml><?xml version="1.0" encoding="utf-8"?>
<sst xmlns="http://schemas.openxmlformats.org/spreadsheetml/2006/main" count="2215" uniqueCount="300">
  <si>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</si>
  <si>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</si>
  <si>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</si>
  <si>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</si>
  <si>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</si>
  <si>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</si>
  <si>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</si>
  <si>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</si>
  <si>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</si>
  <si>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</si>
  <si>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</si>
  <si>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</si>
  <si>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</si>
  <si>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</si>
  <si>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</si>
  <si>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</si>
  <si>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</si>
  <si>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</si>
  <si>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</si>
  <si>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</si>
  <si>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</si>
  <si>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</si>
  <si>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</si>
  <si>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</si>
  <si>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</si>
  <si>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</si>
  <si>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</si>
  <si>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</si>
  <si>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</si>
  <si>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</si>
  <si>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</si>
  <si>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</si>
  <si>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</si>
  <si>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</si>
  <si>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</si>
  <si>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</si>
  <si>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</si>
  <si>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</si>
  <si>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</si>
  <si>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</si>
  <si>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</si>
  <si>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</si>
  <si>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</si>
  <si>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</si>
  <si>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</si>
  <si>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</si>
  <si>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</si>
  <si>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</si>
  <si>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</si>
  <si>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</si>
  <si>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</si>
  <si>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</si>
  <si>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</si>
  <si>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</si>
  <si>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</si>
  <si>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</si>
  <si>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</si>
  <si>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</si>
  <si>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</si>
  <si>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</si>
  <si>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</si>
  <si>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</si>
  <si>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</si>
  <si>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</si>
  <si>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</si>
  <si>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</si>
  <si>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</si>
  <si>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</si>
  <si>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</si>
  <si>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</si>
  <si>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</si>
  <si>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</si>
  <si>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</si>
  <si>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</si>
  <si>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</si>
  <si>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</si>
  <si>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</si>
  <si>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</si>
  <si>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</si>
  <si>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</si>
  <si>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</si>
  <si>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</si>
  <si>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</si>
  <si>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</si>
  <si>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</si>
  <si>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</si>
  <si>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</si>
  <si>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</si>
  <si>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</si>
  <si>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</si>
  <si>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</si>
  <si>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</si>
  <si>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</si>
  <si>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</si>
  <si>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</si>
  <si>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</si>
  <si>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</si>
  <si>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</si>
  <si>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</si>
  <si>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</si>
  <si>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</si>
  <si>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</si>
  <si>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</si>
  <si>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</si>
  <si>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</si>
  <si>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</si>
  <si>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</si>
  <si>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</si>
  <si>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</si>
  <si>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</si>
  <si>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</si>
  <si>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</si>
  <si>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</si>
  <si>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</si>
  <si>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</si>
  <si>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</si>
  <si>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</si>
  <si>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</si>
  <si>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</si>
  <si>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</si>
  <si>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</si>
  <si>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</si>
  <si>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</si>
  <si>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</si>
  <si>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</si>
  <si>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</si>
  <si>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</si>
  <si>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</si>
  <si>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</si>
  <si>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</si>
  <si>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</si>
  <si>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</si>
  <si>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</si>
  <si>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</si>
  <si>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</si>
  <si>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</si>
  <si>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</si>
  <si>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</si>
  <si>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</si>
  <si>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</si>
  <si>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</si>
  <si>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</si>
  <si>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</si>
  <si>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</si>
  <si>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</si>
  <si>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</si>
  <si>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</si>
  <si>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</si>
  <si>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</si>
  <si>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</si>
  <si>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</si>
  <si>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</si>
  <si>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</si>
  <si>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</si>
  <si>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</si>
  <si>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</si>
  <si>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</si>
  <si>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</si>
  <si>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</si>
  <si>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</si>
  <si>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</si>
  <si>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</si>
  <si>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</si>
  <si>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</si>
  <si>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</si>
  <si>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</si>
  <si>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</si>
  <si>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</si>
  <si>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</si>
  <si>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</si>
  <si>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</si>
  <si>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</si>
  <si>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</si>
  <si>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</si>
  <si>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</si>
  <si>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</si>
  <si>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</si>
  <si>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</si>
  <si>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</si>
  <si>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</si>
  <si>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</si>
  <si>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</si>
  <si>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</si>
  <si>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</si>
  <si>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</si>
  <si>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</si>
  <si>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</si>
  <si>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</si>
  <si>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</si>
  <si>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</si>
  <si>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</si>
  <si>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</si>
  <si>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</si>
  <si>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</si>
  <si>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</si>
  <si>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</si>
  <si>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</si>
  <si>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</si>
  <si>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</si>
  <si>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</si>
  <si>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</si>
  <si>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</si>
  <si>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</si>
  <si>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</si>
  <si>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</si>
  <si>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</si>
  <si>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</si>
  <si>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</si>
  <si>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</si>
  <si>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</si>
  <si>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</si>
  <si>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</si>
  <si>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</si>
  <si>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</si>
  <si>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</si>
  <si>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</si>
  <si>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</si>
  <si>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</si>
  <si>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</si>
  <si>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</si>
  <si>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</si>
  <si>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</si>
  <si>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</si>
  <si>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</si>
  <si>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</si>
  <si>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</si>
  <si>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</si>
  <si>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</si>
  <si>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</si>
  <si>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</si>
  <si>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</si>
  <si>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</si>
  <si>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</si>
  <si>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</si>
  <si>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</si>
  <si>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</si>
  <si>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</si>
  <si>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</si>
  <si>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</si>
  <si>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</si>
  <si>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</si>
  <si>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</si>
  <si>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</si>
  <si>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</si>
  <si>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</si>
  <si>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</si>
  <si>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</si>
  <si>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</si>
  <si>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</si>
  <si>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</si>
  <si>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</si>
  <si>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</si>
  <si>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</si>
  <si>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</si>
  <si>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</si>
  <si>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</si>
  <si>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</si>
  <si>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</si>
  <si>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</si>
  <si>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</si>
  <si>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</si>
  <si>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</si>
  <si>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</si>
  <si>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</si>
  <si>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</si>
  <si>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</si>
  <si>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</si>
  <si>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</si>
  <si>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</si>
  <si>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</si>
  <si>
    <t>Available stock in Karen House 1500 pcs</t>
  </si>
  <si>
    <t xml:space="preserve">LULU Quote </t>
  </si>
  <si>
    <t>Karan Quote</t>
  </si>
  <si>
    <t>LULU Quote</t>
  </si>
  <si>
    <t>Available stock in LULU House 1661 pcs</t>
  </si>
  <si>
    <t>C318893</t>
  </si>
  <si>
    <t>Chipsmall</t>
  </si>
  <si>
    <t>C56, C57, C75, C96, C121, C124, C125, C127, C129, C131, C132</t>
  </si>
  <si>
    <t>Quantity (5 Boards)</t>
  </si>
  <si>
    <t>MOQ (5 Boards)</t>
  </si>
  <si>
    <t>Unit Cost (5 Boards)</t>
  </si>
  <si>
    <t>Total Cost (5 Boards)</t>
  </si>
  <si>
    <t>C492405</t>
  </si>
  <si>
    <t>PZ254V-11-06P</t>
  </si>
  <si>
    <t>RS-03K104JT</t>
  </si>
  <si>
    <t>C3, C5, C7, C9, C11, C13, C15, C17, C24, C25, C27, C29, C30, C32, C35, C39, C42, C53, C55, C64, C65, C66, C67, C70, C72, C76, C78, C85, C90, C91, C92, C93, C94, C95, C98, C99, C108, C112, C113, C114, C116, C118, C120, C128, C135, C136, C165, C166, C167, C168, C#2</t>
  </si>
  <si>
    <t>C45, C46, C47, C48, C49, C50, C51, C52, C97, C100, C101, C102, C103, C104, C105, C106, C107, C119, C122, C123, C126, C130, C133, C134, C141, C142, C143, C144, C145, C146, C147, C148, C149, C150, C151, C152, C153, C154, C155, C156, C157, C158, C159, C160, C161, C162, C163, C164</t>
  </si>
  <si>
    <t>Ferrite Bead</t>
  </si>
  <si>
    <t>FB1, FB2</t>
  </si>
  <si>
    <t>FERRITE BEAD 120 OHM 0603 1LN</t>
  </si>
  <si>
    <t>IND-0603 (1608 Metric)</t>
  </si>
  <si>
    <t>BLM18SG121TN1D</t>
  </si>
  <si>
    <t>Murata</t>
  </si>
  <si>
    <t>C113030</t>
  </si>
  <si>
    <t>C1,C2, C23, C26, C28, C137, C138, C139, C140</t>
  </si>
  <si>
    <t>Quantity (10 Boards)</t>
  </si>
  <si>
    <t>MOQ (10 Boards)</t>
  </si>
  <si>
    <t>Unit Cost (10 Boards)</t>
  </si>
  <si>
    <t>Total Cost (10 Boards)</t>
  </si>
  <si>
    <t>C62892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</si>
</sst>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6" fillId="4" borderId="6" xfId="0" applyFont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19</xdr:col>
      <xdr:colOff>0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3A8A17-4845-4B09-9856-ACE6C9FE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454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1743075</xdr:colOff>
      <xdr:row>7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3A8A17-4845-4B09-9856-ACE6C9FE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307050" y="620016"/>
          <a:ext cx="1733550" cy="10849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Pin-Headers_XFCN-PZ254V-11-05P_C492404.html" TargetMode="External"/><Relationship Id="rId26" Type="http://schemas.openxmlformats.org/officeDocument/2006/relationships/hyperlink" Target="https://www.lcsc.com/product-detail/Crystals_JYJE-3TJ481920NYLBC_C2898996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Chip-Resistor-Surface-Mount_YAGEO-RC0603JR-074K7L_C105428.html" TargetMode="External"/><Relationship Id="rId34" Type="http://schemas.openxmlformats.org/officeDocument/2006/relationships/hyperlink" Target="https://www.lcsc.com/product-detail/Digital-Transistors_Jiangsu-Changjing-Electronics-Technology-Co-Ltd-UMH3N_C62892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402KRX5R7BB104_C106204.html" TargetMode="External"/><Relationship Id="rId25" Type="http://schemas.openxmlformats.org/officeDocument/2006/relationships/hyperlink" Target="https://www.lcsc.com/product-detail/Linear-Voltage-Regulators-LDO_Torex-Semicon-XC6220B331MR-G_C86534.html" TargetMode="External"/><Relationship Id="rId33" Type="http://schemas.openxmlformats.org/officeDocument/2006/relationships/hyperlink" Target="https://www.lcsc.com/product-detail/Ferrite-Beads_Murata-Electronics-BLM18SG121TN1D_C113030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Chip-Resistor-Surface-Mount_YAGEO-RC0603FR-070RL_C100044.html" TargetMode="External"/><Relationship Id="rId29" Type="http://schemas.openxmlformats.org/officeDocument/2006/relationships/hyperlink" Target="https://www.lcsc.com/product-detail/Multilayer-Ceramic-Capacitors-MLCC-SMD-SMT_TDK-C1608X5R1E106MT000E_C7661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Precision-OpAmps_Texas-Instruments-OPA344NA-250_C131974.html" TargetMode="External"/><Relationship Id="rId32" Type="http://schemas.openxmlformats.org/officeDocument/2006/relationships/hyperlink" Target="https://www.lcsc.com/product-detail/Multilayer-Ceramic-Capacitors-MLCC-SMD-SMT_YAGEO-CC0603JRNPO9BN270_C107045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11K3L_C137803.html" TargetMode="External"/><Relationship Id="rId28" Type="http://schemas.openxmlformats.org/officeDocument/2006/relationships/hyperlink" Target="https://www.lcsc.com/product-detail/Multilayer-Ceramic-Capacitors-MLCC-SMD-SMT_Samsung-Electro-Mechanics-CL10B104KB8NNNC_C1591.html" TargetMode="External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Chip-Resistor-Surface-Mount_YAGEO-RC0603FR-07300KL_C114667.html" TargetMode="External"/><Relationship Id="rId31" Type="http://schemas.openxmlformats.org/officeDocument/2006/relationships/hyperlink" Target="https://pk.chipsmall.com/Products/SPM0687LR5H-1_12880308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402FR-0710KL_C60490.html" TargetMode="External"/><Relationship Id="rId27" Type="http://schemas.openxmlformats.org/officeDocument/2006/relationships/hyperlink" Target="https://www.lcsc.com/product-detail/Crystals_JGHC-S3224576121060_C390772.html" TargetMode="External"/><Relationship Id="rId30" Type="http://schemas.openxmlformats.org/officeDocument/2006/relationships/hyperlink" Target="https://www.lcsc.com/product-detail/Tactile-Switches_XKB-Connectivity-TS-1185EC-C-D-B_C318893.html" TargetMode="External"/><Relationship Id="rId35" Type="http://schemas.openxmlformats.org/officeDocument/2006/relationships/drawing" Target="../drawings/drawing1.xml"/><Relationship Id="rId8" Type="http://schemas.openxmlformats.org/officeDocument/2006/relationships/hyperlink" Target="https://www.lcsc.com/product-detail/WiFi-Modules_Espressif-Systems-ESP32-WROVER-E-N8R8_C2973667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Pin-Headers_XFCN-PZ254V-11-05P_C492404.html" TargetMode="External"/><Relationship Id="rId26" Type="http://schemas.openxmlformats.org/officeDocument/2006/relationships/hyperlink" Target="https://www.lcsc.com/product-detail/Crystals_JYJE-3TJ481920NYLBC_C2898996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Chip-Resistor-Surface-Mount_YAGEO-RC0603JR-074K7L_C105428.html" TargetMode="External"/><Relationship Id="rId34" Type="http://schemas.openxmlformats.org/officeDocument/2006/relationships/hyperlink" Target="https://www.lcsc.com/product-detail/Digital-Transistors_Jiangsu-Changjing-Electronics-Technology-Co-Ltd-UMH3N_C62892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402KRX5R7BB104_C106204.html" TargetMode="External"/><Relationship Id="rId25" Type="http://schemas.openxmlformats.org/officeDocument/2006/relationships/hyperlink" Target="https://www.lcsc.com/product-detail/Linear-Voltage-Regulators-LDO_Torex-Semicon-XC6220B331MR-G_C86534.html" TargetMode="External"/><Relationship Id="rId33" Type="http://schemas.openxmlformats.org/officeDocument/2006/relationships/hyperlink" Target="https://www.lcsc.com/product-detail/Ferrite-Beads_Murata-Electronics-BLM18SG121TN1D_C113030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Chip-Resistor-Surface-Mount_YAGEO-RC0603FR-070RL_C100044.html" TargetMode="External"/><Relationship Id="rId29" Type="http://schemas.openxmlformats.org/officeDocument/2006/relationships/hyperlink" Target="https://www.lcsc.com/product-detail/Multilayer-Ceramic-Capacitors-MLCC-SMD-SMT_TDK-C1608X5R1E106MT000E_C7661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Precision-OpAmps_Texas-Instruments-OPA344NA-250_C131974.html" TargetMode="External"/><Relationship Id="rId32" Type="http://schemas.openxmlformats.org/officeDocument/2006/relationships/hyperlink" Target="https://www.lcsc.com/product-detail/Multilayer-Ceramic-Capacitors-MLCC-SMD-SMT_YAGEO-CC0603JRNPO9BN270_C107045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11K3L_C137803.html" TargetMode="External"/><Relationship Id="rId28" Type="http://schemas.openxmlformats.org/officeDocument/2006/relationships/hyperlink" Target="https://www.lcsc.com/product-detail/Multilayer-Ceramic-Capacitors-MLCC-SMD-SMT_Samsung-Electro-Mechanics-CL10B104KB8NNNC_C1591.html" TargetMode="External"/><Relationship Id="rId36" Type="http://schemas.openxmlformats.org/officeDocument/2006/relationships/drawing" Target="../drawings/drawing2.xml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Chip-Resistor-Surface-Mount_YAGEO-RC0603FR-07300KL_C114667.html" TargetMode="External"/><Relationship Id="rId31" Type="http://schemas.openxmlformats.org/officeDocument/2006/relationships/hyperlink" Target="https://pk.chipsmall.com/Products/SPM0687LR5H-1_12880308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402FR-0710KL_C60490.html" TargetMode="External"/><Relationship Id="rId27" Type="http://schemas.openxmlformats.org/officeDocument/2006/relationships/hyperlink" Target="https://www.lcsc.com/product-detail/Crystals_JGHC-S3224576121060_C390772.html" TargetMode="External"/><Relationship Id="rId30" Type="http://schemas.openxmlformats.org/officeDocument/2006/relationships/hyperlink" Target="https://www.lcsc.com/product-detail/Tactile-Switches_XKB-Connectivity-TS-1185EC-C-D-B_C318893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WiFi-Modules_Espressif-Systems-ESP32-WROVER-E-N8R8_C2973667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Taiyo-Yuden-UMK107C7224KAHTE_C386159.html" TargetMode="External"/><Relationship Id="rId18" Type="http://schemas.openxmlformats.org/officeDocument/2006/relationships/hyperlink" Target="https://www.lcsc.com/product-detail/Multilayer-Ceramic-Capacitors-MLCC-SMD-SMT_YAGEO-CC0603JRNPO9BN270_C107045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34" Type="http://schemas.openxmlformats.org/officeDocument/2006/relationships/hyperlink" Target="https://pk.chipsmall.com/Products/UMH3N_Changjiang-Electronics-Tech-CJ_20520517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YAGEO-CC0402JRNPO9BN221_C107001.html" TargetMode="External"/><Relationship Id="rId17" Type="http://schemas.openxmlformats.org/officeDocument/2006/relationships/hyperlink" Target="https://www.lcsc.com/product-detail/Multilayer-Ceramic-Capacitors-MLCC-SMD-SMT_YAGEO-CC0603KRX7R8BB101_C519410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hyperlink" Target="https://www.lcsc.com/product-detail/Tactile-Switches_XKB-Connectivity-TS-1185EC-C-D-B_C318893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402KRX5R8BB105_C326568.html" TargetMode="External"/><Relationship Id="rId20" Type="http://schemas.openxmlformats.org/officeDocument/2006/relationships/hyperlink" Target="https://www.lcsc.com/product-detail/Multilayer-Ceramic-Capacitors-MLCC-SMD-SMT_Taiyo-Yuden-EMK212BB7106MG-T_C141287.html" TargetMode="External"/><Relationship Id="rId29" Type="http://schemas.openxmlformats.org/officeDocument/2006/relationships/hyperlink" Target="https://www.lcsc.com/product-detail/Crystals_JYJE-3TJ481920NYLBC_C2898996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Samsung-Electro-Mechanics-CL10A475KA8NQNC_C69335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hyperlink" Target="https://www.lcsc.com/product-detail/Multilayer-Ceramic-Capacitors-MLCC-SMD-SMT_TDK-C1608X5R1E106MT000E_C76614.html" TargetMode="Externa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Linear-Voltage-Regulators-LDO_Torex-Semicon-XC6220B331MR-G_C86534.html" TargetMode="External"/><Relationship Id="rId36" Type="http://schemas.openxmlformats.org/officeDocument/2006/relationships/drawing" Target="../drawings/drawing3.xml"/><Relationship Id="rId10" Type="http://schemas.openxmlformats.org/officeDocument/2006/relationships/hyperlink" Target="https://www.lcsc.com/product-detail/Multilayer-Ceramic-Capacitors-MLCC-SMD-SMT_YAGEO-CC0603KRX5R7BB475_C277476.html" TargetMode="External"/><Relationship Id="rId19" Type="http://schemas.openxmlformats.org/officeDocument/2006/relationships/hyperlink" Target="https://www.lcsc.com/product-detail/Multilayer-Ceramic-Capacitors-MLCC-SMD-SMT_YAGEO-CC0402KRX5R7BB104_C106204.html" TargetMode="External"/><Relationship Id="rId31" Type="http://schemas.openxmlformats.org/officeDocument/2006/relationships/hyperlink" Target="https://www.lcsc.com/product-detail/Multilayer-Ceramic-Capacitors-MLCC-SMD-SMT_Samsung-Electro-Mechanics-CL10B104KB8NNNC_C1591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lcsc.com/product-detail/Chip-Resistor-Surface-Mount_YAGEO-RC0603JR-075K1L_C14677.html" TargetMode="External"/><Relationship Id="rId14" Type="http://schemas.openxmlformats.org/officeDocument/2006/relationships/hyperlink" Target="https://www.lcsc.com/product-detail/Multilayer-Ceramic-Capacitors-MLCC-SMD-SMT_YAGEO-CC0603JRNPO9BN180_C107040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Precision-OpAmps_Texas-Instruments-OPA344NA-250_C131974.html" TargetMode="External"/><Relationship Id="rId30" Type="http://schemas.openxmlformats.org/officeDocument/2006/relationships/hyperlink" Target="https://www.lcsc.com/product-detail/Crystals_JGHC-S3224576121060_C390772.html" TargetMode="External"/><Relationship Id="rId35" Type="http://schemas.openxmlformats.org/officeDocument/2006/relationships/printerSettings" Target="../printerSettings/printerSettings2.bin"/><Relationship Id="rId8" Type="http://schemas.openxmlformats.org/officeDocument/2006/relationships/hyperlink" Target="https://www.lcsc.com/product-detail/WiFi-Modules_Espressif-Systems-ESP32-WROVER-E-N8R8_C2973667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603JR-075K1L_C14677.html" TargetMode="External"/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Linear-Voltage-Regulators-LDO_Torex-Semicon-XC6220B331MR-G_C86534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Chip-Resistor-Surface-Mount_YAGEO-RC0603FR-07300KL_C114667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603FR-0711K3L_C137803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Pin-Headers_XFCN-PZ254V-11-05P_C492404.html" TargetMode="External"/><Relationship Id="rId29" Type="http://schemas.openxmlformats.org/officeDocument/2006/relationships/hyperlink" Target="https://www.lcsc.com/product-detail/Multilayer-Ceramic-Capacitors-MLCC-SMD-SMT_Samsung-Electro-Mechanics-CL10B104KB8NNNC_C1591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402FR-0710KL_C60490.html" TargetMode="External"/><Relationship Id="rId32" Type="http://schemas.openxmlformats.org/officeDocument/2006/relationships/drawing" Target="../drawings/drawing4.xm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JR-074K7L_C105428.html" TargetMode="External"/><Relationship Id="rId28" Type="http://schemas.openxmlformats.org/officeDocument/2006/relationships/hyperlink" Target="https://www.lcsc.com/product-detail/Crystals_JGHC-S3224576121060_C390772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printerSettings" Target="../printerSettings/printerSettings3.bin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0RL_C100044.html" TargetMode="External"/><Relationship Id="rId27" Type="http://schemas.openxmlformats.org/officeDocument/2006/relationships/hyperlink" Target="https://www.lcsc.com/product-detail/Crystals_JYJE-3TJ481920NYLBC_C2898996.html" TargetMode="External"/><Relationship Id="rId30" Type="http://schemas.openxmlformats.org/officeDocument/2006/relationships/hyperlink" Target="https://www.lcsc.com/product-detail/Multilayer-Ceramic-Capacitors-MLCC-SMD-SMT_TDK-C1608X5R1E106MT000E_C76614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Samsung-Electro-Mechanics-CL10B104KB8NNNC_C1591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drawing" Target="../drawings/drawing5.xm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TDK-C1608X5R1E106MT000E_C7661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1"/>
  <sheetViews>
    <sheetView tabSelected="1" topLeftCell="A39" workbookViewId="0">
      <selection activeCell="A45" sqref="A45"/>
    </sheetView>
  </sheetViews>
  <sheetFormatPr defaultRowHeight="15" x14ac:dyDescent="0.25"/>
  <cols>
    <col min="2" max="2" width="3" bestFit="1" customWidth="1"/>
    <col min="3" max="3" width="12.5703125" customWidth="1"/>
    <col min="4" max="4" width="31.140625" bestFit="1" customWidth="1"/>
    <col min="5" max="5" width="27" bestFit="1" customWidth="1"/>
    <col min="6" max="6" width="13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4" width="15.7109375" customWidth="1"/>
    <col min="15" max="15" width="11.2851562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5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4"/>
      <c r="L1" s="104"/>
      <c r="M1" s="104"/>
      <c r="N1" s="104"/>
      <c r="O1" s="104"/>
      <c r="P1" s="104"/>
      <c r="Q1" s="104"/>
      <c r="R1" s="104"/>
      <c r="S1" s="105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6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7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7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7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7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7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0" t="s">
        <v>200</v>
      </c>
      <c r="M9" s="30" t="s">
        <v>278</v>
      </c>
      <c r="N9" s="31" t="s">
        <v>279</v>
      </c>
      <c r="O9" s="30" t="s">
        <v>212</v>
      </c>
      <c r="P9" s="31" t="s">
        <v>280</v>
      </c>
      <c r="Q9" s="30" t="s">
        <v>281</v>
      </c>
      <c r="R9" s="31" t="s">
        <v>215</v>
      </c>
      <c r="S9" s="30" t="s">
        <v>216</v>
      </c>
    </row>
    <row r="10" spans="1:19" s="64" customFormat="1" ht="24.75" thickBot="1" x14ac:dyDescent="0.3">
      <c r="A10" s="63"/>
      <c r="B10" s="37">
        <f>ROW(B10) - ROW($B$9)</f>
        <v>1</v>
      </c>
      <c r="C10" s="53" t="s">
        <v>7</v>
      </c>
      <c r="D10" s="71" t="s">
        <v>294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9</v>
      </c>
      <c r="M10" s="61">
        <f>L10*5</f>
        <v>45</v>
      </c>
      <c r="N10" s="61">
        <v>60</v>
      </c>
      <c r="O10" s="69" t="s">
        <v>223</v>
      </c>
      <c r="P10" s="70">
        <v>2.3599999999999999E-2</v>
      </c>
      <c r="Q10" s="70">
        <f>P10*N10</f>
        <v>1.4159999999999999</v>
      </c>
      <c r="R10" s="67"/>
      <c r="S10" s="70"/>
    </row>
    <row r="11" spans="1:19" s="64" customFormat="1" ht="84.75" thickBot="1" x14ac:dyDescent="0.3">
      <c r="A11" s="63"/>
      <c r="B11" s="37">
        <f>ROW(B11) - ROW($B$9)</f>
        <v>2</v>
      </c>
      <c r="C11" s="53" t="s">
        <v>7</v>
      </c>
      <c r="D11" s="71" t="s">
        <v>285</v>
      </c>
      <c r="E11" s="67" t="s">
        <v>60</v>
      </c>
      <c r="F11" s="61" t="s">
        <v>97</v>
      </c>
      <c r="G11" s="67" t="s">
        <v>131</v>
      </c>
      <c r="H11" s="61" t="s">
        <v>152</v>
      </c>
      <c r="I11" s="61" t="s">
        <v>225</v>
      </c>
      <c r="J11" s="61" t="s">
        <v>173</v>
      </c>
      <c r="K11" s="68" t="s">
        <v>183</v>
      </c>
      <c r="L11" s="61">
        <v>51</v>
      </c>
      <c r="M11" s="61">
        <f t="shared" ref="M11:M49" si="0">L11*5</f>
        <v>255</v>
      </c>
      <c r="N11" s="61">
        <v>300</v>
      </c>
      <c r="O11" s="69" t="s">
        <v>223</v>
      </c>
      <c r="P11" s="70">
        <v>8.9999999999999993E-3</v>
      </c>
      <c r="Q11" s="70">
        <f>P11*N11</f>
        <v>2.6999999999999997</v>
      </c>
      <c r="R11" s="67"/>
      <c r="S11" s="70"/>
    </row>
    <row r="12" spans="1:19" s="64" customFormat="1" ht="24.75" thickBot="1" x14ac:dyDescent="0.3">
      <c r="A12" s="63"/>
      <c r="B12" s="37">
        <f t="shared" ref="B12:B48" si="1">ROW(B12) - ROW($B$9)</f>
        <v>3</v>
      </c>
      <c r="C12" s="53" t="s">
        <v>7</v>
      </c>
      <c r="D12" s="100" t="s">
        <v>15</v>
      </c>
      <c r="E12" s="61" t="s">
        <v>53</v>
      </c>
      <c r="F12" s="61" t="s">
        <v>95</v>
      </c>
      <c r="G12" s="67" t="s">
        <v>125</v>
      </c>
      <c r="H12" s="61" t="s">
        <v>152</v>
      </c>
      <c r="I12" s="61" t="s">
        <v>225</v>
      </c>
      <c r="J12" s="61" t="s">
        <v>245</v>
      </c>
      <c r="K12" s="68" t="s">
        <v>184</v>
      </c>
      <c r="L12" s="101">
        <v>12</v>
      </c>
      <c r="M12" s="101">
        <f t="shared" si="0"/>
        <v>60</v>
      </c>
      <c r="N12" s="61">
        <v>100</v>
      </c>
      <c r="O12" s="69" t="s">
        <v>223</v>
      </c>
      <c r="P12" s="70">
        <v>2.8E-3</v>
      </c>
      <c r="Q12" s="70">
        <f t="shared" ref="Q12:Q49" si="2">P12*N12</f>
        <v>0.27999999999999997</v>
      </c>
      <c r="R12" s="67"/>
      <c r="S12" s="70"/>
    </row>
    <row r="13" spans="1:19" s="64" customFormat="1" ht="15.75" thickBot="1" x14ac:dyDescent="0.3">
      <c r="A13" s="63"/>
      <c r="B13" s="37">
        <f>ROW(B13) - ROW($B$9)</f>
        <v>4</v>
      </c>
      <c r="C13" s="53" t="s">
        <v>7</v>
      </c>
      <c r="D13" s="71" t="s">
        <v>16</v>
      </c>
      <c r="E13" s="67" t="s">
        <v>54</v>
      </c>
      <c r="F13" s="61" t="s">
        <v>96</v>
      </c>
      <c r="G13" s="67" t="s">
        <v>126</v>
      </c>
      <c r="H13" s="61" t="s">
        <v>154</v>
      </c>
      <c r="I13" s="61" t="s">
        <v>225</v>
      </c>
      <c r="J13" s="61" t="s">
        <v>171</v>
      </c>
      <c r="K13" s="68" t="s">
        <v>185</v>
      </c>
      <c r="L13" s="61">
        <v>2</v>
      </c>
      <c r="M13" s="61">
        <f t="shared" si="0"/>
        <v>10</v>
      </c>
      <c r="N13" s="61">
        <v>11</v>
      </c>
      <c r="O13" s="69" t="s">
        <v>223</v>
      </c>
      <c r="P13" s="70">
        <v>1.2005999999999999</v>
      </c>
      <c r="Q13" s="70">
        <f t="shared" si="2"/>
        <v>13.206599999999998</v>
      </c>
      <c r="R13" s="67"/>
      <c r="S13" s="70"/>
    </row>
    <row r="14" spans="1:19" s="64" customFormat="1" ht="24.75" thickBot="1" x14ac:dyDescent="0.3">
      <c r="A14" s="63"/>
      <c r="B14" s="37">
        <f>ROW(B14) - ROW($B$9)</f>
        <v>5</v>
      </c>
      <c r="C14" s="53" t="s">
        <v>7</v>
      </c>
      <c r="D14" s="100" t="s">
        <v>261</v>
      </c>
      <c r="E14" s="61" t="s">
        <v>55</v>
      </c>
      <c r="F14" s="61" t="s">
        <v>93</v>
      </c>
      <c r="G14" s="74" t="s">
        <v>127</v>
      </c>
      <c r="H14" s="61" t="s">
        <v>152</v>
      </c>
      <c r="I14" s="61" t="s">
        <v>262</v>
      </c>
      <c r="J14" s="61" t="s">
        <v>263</v>
      </c>
      <c r="K14" s="68" t="s">
        <v>186</v>
      </c>
      <c r="L14" s="101">
        <v>16</v>
      </c>
      <c r="M14" s="101">
        <f t="shared" si="0"/>
        <v>80</v>
      </c>
      <c r="N14" s="61">
        <v>100</v>
      </c>
      <c r="O14" s="69" t="s">
        <v>223</v>
      </c>
      <c r="P14" s="70">
        <v>2.5000000000000001E-3</v>
      </c>
      <c r="Q14" s="70">
        <f t="shared" si="2"/>
        <v>0.25</v>
      </c>
      <c r="R14" s="67"/>
      <c r="S14" s="70"/>
    </row>
    <row r="15" spans="1:19" s="64" customFormat="1" ht="15.75" thickBot="1" x14ac:dyDescent="0.3">
      <c r="A15" s="63"/>
      <c r="B15" s="37">
        <f t="shared" si="1"/>
        <v>6</v>
      </c>
      <c r="C15" s="53" t="s">
        <v>7</v>
      </c>
      <c r="D15" s="71" t="s">
        <v>17</v>
      </c>
      <c r="E15" s="67" t="s">
        <v>56</v>
      </c>
      <c r="F15" s="61" t="s">
        <v>94</v>
      </c>
      <c r="G15" s="67" t="s">
        <v>128</v>
      </c>
      <c r="H15" s="61" t="s">
        <v>155</v>
      </c>
      <c r="I15" s="61" t="s">
        <v>225</v>
      </c>
      <c r="J15" s="61" t="s">
        <v>246</v>
      </c>
      <c r="K15" s="68" t="s">
        <v>187</v>
      </c>
      <c r="L15" s="61">
        <v>1</v>
      </c>
      <c r="M15" s="61">
        <f t="shared" si="0"/>
        <v>5</v>
      </c>
      <c r="N15" s="61">
        <v>10</v>
      </c>
      <c r="O15" s="69" t="s">
        <v>223</v>
      </c>
      <c r="P15" s="70">
        <v>3.7699999999999997E-2</v>
      </c>
      <c r="Q15" s="70">
        <f t="shared" si="2"/>
        <v>0.377</v>
      </c>
      <c r="R15" s="67"/>
      <c r="S15" s="70"/>
    </row>
    <row r="16" spans="1:19" s="64" customFormat="1" ht="24.75" thickBot="1" x14ac:dyDescent="0.3">
      <c r="A16" s="63"/>
      <c r="B16" s="37">
        <f>ROW(B16) - ROW($B$9)</f>
        <v>7</v>
      </c>
      <c r="C16" s="53" t="s">
        <v>7</v>
      </c>
      <c r="D16" s="100" t="s">
        <v>18</v>
      </c>
      <c r="E16" s="61" t="s">
        <v>57</v>
      </c>
      <c r="F16" s="61" t="s">
        <v>94</v>
      </c>
      <c r="G16" s="67" t="s">
        <v>129</v>
      </c>
      <c r="H16" s="61" t="s">
        <v>152</v>
      </c>
      <c r="I16" s="61" t="s">
        <v>225</v>
      </c>
      <c r="J16" s="61" t="s">
        <v>247</v>
      </c>
      <c r="K16" s="68" t="s">
        <v>188</v>
      </c>
      <c r="L16" s="101">
        <v>6</v>
      </c>
      <c r="M16" s="101">
        <f t="shared" si="0"/>
        <v>30</v>
      </c>
      <c r="N16" s="61">
        <v>100</v>
      </c>
      <c r="O16" s="69" t="s">
        <v>223</v>
      </c>
      <c r="P16" s="70">
        <v>2.7000000000000001E-3</v>
      </c>
      <c r="Q16" s="70">
        <f t="shared" si="2"/>
        <v>0.27</v>
      </c>
      <c r="R16" s="67"/>
      <c r="S16" s="70"/>
    </row>
    <row r="17" spans="1:19" s="64" customFormat="1" ht="96.75" thickBot="1" x14ac:dyDescent="0.3">
      <c r="A17" s="63"/>
      <c r="B17" s="37">
        <f>ROW(B17) - ROW($B$9)</f>
        <v>8</v>
      </c>
      <c r="C17" s="53" t="s">
        <v>7</v>
      </c>
      <c r="D17" s="71" t="s">
        <v>286</v>
      </c>
      <c r="E17" s="67" t="s">
        <v>63</v>
      </c>
      <c r="F17" s="61" t="s">
        <v>97</v>
      </c>
      <c r="G17" s="67" t="s">
        <v>135</v>
      </c>
      <c r="H17" s="61" t="s">
        <v>152</v>
      </c>
      <c r="I17" s="61" t="s">
        <v>225</v>
      </c>
      <c r="J17" s="61" t="s">
        <v>175</v>
      </c>
      <c r="K17" s="68" t="s">
        <v>186</v>
      </c>
      <c r="L17" s="61">
        <v>48</v>
      </c>
      <c r="M17" s="61">
        <f>L17*5</f>
        <v>240</v>
      </c>
      <c r="N17" s="61">
        <v>300</v>
      </c>
      <c r="O17" s="69" t="s">
        <v>223</v>
      </c>
      <c r="P17" s="70">
        <v>1.1000000000000001E-3</v>
      </c>
      <c r="Q17" s="70">
        <f>P17*N17</f>
        <v>0.33</v>
      </c>
      <c r="R17" s="67"/>
      <c r="S17" s="70"/>
    </row>
    <row r="18" spans="1:19" s="64" customFormat="1" ht="24.75" thickBot="1" x14ac:dyDescent="0.3">
      <c r="A18" s="63"/>
      <c r="B18" s="37">
        <f>ROW(B18) - ROW($B$9)</f>
        <v>9</v>
      </c>
      <c r="C18" s="53" t="s">
        <v>7</v>
      </c>
      <c r="D18" s="100" t="s">
        <v>277</v>
      </c>
      <c r="E18" s="67" t="s">
        <v>58</v>
      </c>
      <c r="F18" s="61" t="s">
        <v>93</v>
      </c>
      <c r="G18" s="61" t="s">
        <v>264</v>
      </c>
      <c r="H18" s="61" t="s">
        <v>156</v>
      </c>
      <c r="I18" s="61" t="s">
        <v>225</v>
      </c>
      <c r="J18" s="61" t="s">
        <v>265</v>
      </c>
      <c r="K18" s="68" t="s">
        <v>189</v>
      </c>
      <c r="L18" s="61">
        <v>11</v>
      </c>
      <c r="M18" s="61">
        <f t="shared" si="0"/>
        <v>55</v>
      </c>
      <c r="N18" s="61">
        <v>60</v>
      </c>
      <c r="O18" s="69" t="s">
        <v>223</v>
      </c>
      <c r="P18" s="70">
        <v>3.1199999999999999E-2</v>
      </c>
      <c r="Q18" s="70">
        <f>P18*N18</f>
        <v>1.8719999999999999</v>
      </c>
      <c r="R18" s="67"/>
      <c r="S18" s="70"/>
    </row>
    <row r="19" spans="1:19" s="64" customFormat="1" ht="15.75" thickBot="1" x14ac:dyDescent="0.3">
      <c r="A19" s="63"/>
      <c r="B19" s="37">
        <f>ROW(B19) - ROW($B$9)</f>
        <v>10</v>
      </c>
      <c r="C19" s="53" t="s">
        <v>7</v>
      </c>
      <c r="D19" s="100" t="s">
        <v>19</v>
      </c>
      <c r="E19" s="61" t="s">
        <v>59</v>
      </c>
      <c r="F19" s="61" t="s">
        <v>93</v>
      </c>
      <c r="G19" s="67" t="s">
        <v>130</v>
      </c>
      <c r="H19" s="61" t="s">
        <v>152</v>
      </c>
      <c r="I19" s="61" t="s">
        <v>225</v>
      </c>
      <c r="J19" s="61" t="s">
        <v>172</v>
      </c>
      <c r="K19" s="68" t="s">
        <v>190</v>
      </c>
      <c r="L19" s="101">
        <v>4</v>
      </c>
      <c r="M19" s="101">
        <f t="shared" si="0"/>
        <v>20</v>
      </c>
      <c r="N19" s="61">
        <v>100</v>
      </c>
      <c r="O19" s="69" t="s">
        <v>223</v>
      </c>
      <c r="P19" s="70">
        <v>2.5000000000000001E-3</v>
      </c>
      <c r="Q19" s="70">
        <f t="shared" si="2"/>
        <v>0.25</v>
      </c>
      <c r="R19" s="67"/>
      <c r="S19" s="70"/>
    </row>
    <row r="20" spans="1:19" s="64" customFormat="1" ht="15.75" thickBot="1" x14ac:dyDescent="0.3">
      <c r="A20" s="63"/>
      <c r="B20" s="37">
        <f t="shared" si="1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1">
        <f t="shared" si="0"/>
        <v>5</v>
      </c>
      <c r="N20" s="61">
        <v>100</v>
      </c>
      <c r="O20" s="69" t="s">
        <v>223</v>
      </c>
      <c r="P20" s="70">
        <v>2.8E-3</v>
      </c>
      <c r="Q20" s="70">
        <f t="shared" si="2"/>
        <v>0.27999999999999997</v>
      </c>
      <c r="R20" s="67"/>
      <c r="S20" s="70"/>
    </row>
    <row r="21" spans="1:19" s="64" customFormat="1" ht="24.75" thickBot="1" x14ac:dyDescent="0.3">
      <c r="A21" s="63"/>
      <c r="B21" s="37">
        <f>ROW(B21) - ROW($B$9)</f>
        <v>12</v>
      </c>
      <c r="C21" s="53" t="s">
        <v>7</v>
      </c>
      <c r="D21" s="100" t="s">
        <v>21</v>
      </c>
      <c r="E21" s="61" t="s">
        <v>62</v>
      </c>
      <c r="F21" s="61" t="s">
        <v>93</v>
      </c>
      <c r="G21" s="67" t="s">
        <v>133</v>
      </c>
      <c r="H21" s="61" t="s">
        <v>152</v>
      </c>
      <c r="I21" s="61" t="s">
        <v>225</v>
      </c>
      <c r="J21" s="61" t="s">
        <v>174</v>
      </c>
      <c r="K21" s="68" t="s">
        <v>192</v>
      </c>
      <c r="L21" s="101">
        <v>8</v>
      </c>
      <c r="M21" s="101">
        <f t="shared" si="0"/>
        <v>40</v>
      </c>
      <c r="N21" s="61">
        <v>100</v>
      </c>
      <c r="O21" s="69" t="s">
        <v>223</v>
      </c>
      <c r="P21" s="70">
        <v>2.7000000000000001E-3</v>
      </c>
      <c r="Q21" s="70">
        <f t="shared" si="2"/>
        <v>0.27</v>
      </c>
      <c r="R21" s="67"/>
      <c r="S21" s="70"/>
    </row>
    <row r="22" spans="1:19" s="64" customFormat="1" ht="36.75" thickBot="1" x14ac:dyDescent="0.3">
      <c r="A22" s="63"/>
      <c r="B22" s="37">
        <f t="shared" si="1"/>
        <v>13</v>
      </c>
      <c r="C22" s="53" t="s">
        <v>201</v>
      </c>
      <c r="D22" s="100" t="s">
        <v>24</v>
      </c>
      <c r="E22" s="61" t="s">
        <v>65</v>
      </c>
      <c r="F22" s="61" t="s">
        <v>224</v>
      </c>
      <c r="G22" s="67" t="s">
        <v>99</v>
      </c>
      <c r="H22" s="61" t="s">
        <v>157</v>
      </c>
      <c r="I22" s="61" t="s">
        <v>225</v>
      </c>
      <c r="J22" s="61" t="s">
        <v>226</v>
      </c>
      <c r="K22" s="68" t="s">
        <v>225</v>
      </c>
      <c r="L22" s="101">
        <v>1</v>
      </c>
      <c r="M22" s="101">
        <f t="shared" si="0"/>
        <v>5</v>
      </c>
      <c r="N22" s="61">
        <v>10</v>
      </c>
      <c r="O22" s="69" t="s">
        <v>223</v>
      </c>
      <c r="P22" s="70">
        <v>3.9800000000000002E-2</v>
      </c>
      <c r="Q22" s="70">
        <f t="shared" si="2"/>
        <v>0.39800000000000002</v>
      </c>
      <c r="R22" s="67"/>
      <c r="S22" s="70"/>
    </row>
    <row r="23" spans="1:19" s="64" customFormat="1" ht="24.75" thickBot="1" x14ac:dyDescent="0.3">
      <c r="A23" s="63"/>
      <c r="B23" s="37">
        <f>ROW(B23) - ROW($B$9)</f>
        <v>14</v>
      </c>
      <c r="C23" s="53" t="s">
        <v>201</v>
      </c>
      <c r="D23" s="71" t="s">
        <v>25</v>
      </c>
      <c r="E23" s="67" t="s">
        <v>66</v>
      </c>
      <c r="F23" s="61" t="s">
        <v>100</v>
      </c>
      <c r="G23" s="67" t="s">
        <v>137</v>
      </c>
      <c r="H23" s="61" t="s">
        <v>158</v>
      </c>
      <c r="I23" s="61" t="s">
        <v>225</v>
      </c>
      <c r="J23" s="61" t="s">
        <v>227</v>
      </c>
      <c r="K23" s="68" t="s">
        <v>225</v>
      </c>
      <c r="L23" s="61">
        <v>1</v>
      </c>
      <c r="M23" s="61">
        <f t="shared" si="0"/>
        <v>5</v>
      </c>
      <c r="N23" s="61">
        <v>10</v>
      </c>
      <c r="O23" s="69" t="s">
        <v>223</v>
      </c>
      <c r="P23" s="70">
        <v>3.1800000000000002E-2</v>
      </c>
      <c r="Q23" s="70">
        <f t="shared" si="2"/>
        <v>0.318</v>
      </c>
      <c r="R23" s="67"/>
      <c r="S23" s="70"/>
    </row>
    <row r="24" spans="1:19" s="64" customFormat="1" ht="24.75" thickBot="1" x14ac:dyDescent="0.3">
      <c r="A24" s="63"/>
      <c r="B24" s="37">
        <v>15</v>
      </c>
      <c r="C24" s="53" t="s">
        <v>287</v>
      </c>
      <c r="D24" s="99" t="s">
        <v>288</v>
      </c>
      <c r="E24" s="99" t="s">
        <v>289</v>
      </c>
      <c r="F24" s="99" t="s">
        <v>290</v>
      </c>
      <c r="G24" s="99" t="s">
        <v>291</v>
      </c>
      <c r="H24" s="99" t="s">
        <v>292</v>
      </c>
      <c r="I24" s="99" t="s">
        <v>225</v>
      </c>
      <c r="J24" s="99" t="s">
        <v>293</v>
      </c>
      <c r="K24" s="99" t="s">
        <v>225</v>
      </c>
      <c r="L24" s="99">
        <v>2</v>
      </c>
      <c r="M24" s="101">
        <f>L24*5</f>
        <v>10</v>
      </c>
      <c r="N24" s="61">
        <v>20</v>
      </c>
      <c r="O24" s="69" t="s">
        <v>223</v>
      </c>
      <c r="P24" s="70">
        <v>3.2199999999999999E-2</v>
      </c>
      <c r="Q24" s="70">
        <f>P24*N24</f>
        <v>0.64400000000000002</v>
      </c>
      <c r="R24" s="67"/>
      <c r="S24" s="70"/>
    </row>
    <row r="25" spans="1:19" s="64" customFormat="1" ht="15.75" thickBot="1" x14ac:dyDescent="0.3">
      <c r="A25" s="63"/>
      <c r="B25" s="37">
        <f t="shared" si="1"/>
        <v>16</v>
      </c>
      <c r="C25" s="53" t="s">
        <v>202</v>
      </c>
      <c r="D25" s="100" t="s">
        <v>26</v>
      </c>
      <c r="E25" s="61" t="s">
        <v>67</v>
      </c>
      <c r="F25" s="61" t="s">
        <v>101</v>
      </c>
      <c r="G25" s="74" t="s">
        <v>138</v>
      </c>
      <c r="H25" s="61" t="s">
        <v>159</v>
      </c>
      <c r="I25" s="61" t="s">
        <v>228</v>
      </c>
      <c r="J25" s="61" t="s">
        <v>229</v>
      </c>
      <c r="K25" s="68" t="s">
        <v>225</v>
      </c>
      <c r="L25" s="101">
        <v>1</v>
      </c>
      <c r="M25" s="101">
        <f t="shared" si="0"/>
        <v>5</v>
      </c>
      <c r="N25" s="61">
        <v>20</v>
      </c>
      <c r="O25" s="69" t="s">
        <v>223</v>
      </c>
      <c r="P25" s="70">
        <v>2.8000000000000001E-2</v>
      </c>
      <c r="Q25" s="70">
        <f t="shared" si="2"/>
        <v>0.56000000000000005</v>
      </c>
      <c r="R25" s="67"/>
      <c r="S25" s="70"/>
    </row>
    <row r="26" spans="1:19" s="64" customFormat="1" ht="36.75" thickBot="1" x14ac:dyDescent="0.3">
      <c r="A26" s="63"/>
      <c r="B26" s="37">
        <f>ROW(B26) - ROW($B$9)</f>
        <v>17</v>
      </c>
      <c r="C26" s="53" t="s">
        <v>8</v>
      </c>
      <c r="D26" s="71" t="s">
        <v>27</v>
      </c>
      <c r="E26" s="67" t="s">
        <v>68</v>
      </c>
      <c r="F26" s="61" t="s">
        <v>230</v>
      </c>
      <c r="G26" s="67" t="s">
        <v>102</v>
      </c>
      <c r="H26" s="61" t="s">
        <v>160</v>
      </c>
      <c r="I26" s="61" t="s">
        <v>225</v>
      </c>
      <c r="J26" s="61" t="s">
        <v>176</v>
      </c>
      <c r="K26" s="68" t="s">
        <v>225</v>
      </c>
      <c r="L26" s="61">
        <v>1</v>
      </c>
      <c r="M26" s="61">
        <f t="shared" si="0"/>
        <v>5</v>
      </c>
      <c r="N26" s="61">
        <v>10</v>
      </c>
      <c r="O26" s="69" t="s">
        <v>223</v>
      </c>
      <c r="P26" s="70">
        <v>5.5599999999999997E-2</v>
      </c>
      <c r="Q26" s="70">
        <f t="shared" si="2"/>
        <v>0.55599999999999994</v>
      </c>
      <c r="R26" s="67"/>
      <c r="S26" s="70"/>
    </row>
    <row r="27" spans="1:19" s="64" customFormat="1" ht="24.75" thickBot="1" x14ac:dyDescent="0.3">
      <c r="A27" s="63"/>
      <c r="B27" s="37">
        <f t="shared" si="1"/>
        <v>18</v>
      </c>
      <c r="C27" s="53" t="s">
        <v>9</v>
      </c>
      <c r="D27" s="100" t="s">
        <v>28</v>
      </c>
      <c r="E27" s="61" t="s">
        <v>69</v>
      </c>
      <c r="F27" s="61" t="s">
        <v>230</v>
      </c>
      <c r="G27" s="67" t="s">
        <v>103</v>
      </c>
      <c r="H27" s="61" t="s">
        <v>161</v>
      </c>
      <c r="I27" s="61" t="s">
        <v>225</v>
      </c>
      <c r="J27" s="61" t="s">
        <v>225</v>
      </c>
      <c r="K27" s="68" t="s">
        <v>225</v>
      </c>
      <c r="L27" s="101">
        <v>8</v>
      </c>
      <c r="M27" s="101">
        <f t="shared" si="0"/>
        <v>40</v>
      </c>
      <c r="N27" s="61">
        <v>45</v>
      </c>
      <c r="O27" s="69" t="s">
        <v>276</v>
      </c>
      <c r="P27" s="70">
        <v>0.84699999999999998</v>
      </c>
      <c r="Q27" s="70">
        <f t="shared" si="2"/>
        <v>38.115000000000002</v>
      </c>
      <c r="R27" s="95"/>
      <c r="S27" s="70"/>
    </row>
    <row r="28" spans="1:19" s="64" customFormat="1" ht="30.75" thickBot="1" x14ac:dyDescent="0.3">
      <c r="A28" s="63"/>
      <c r="B28" s="37">
        <f>ROW(B28) - ROW($B$9)</f>
        <v>19</v>
      </c>
      <c r="C28" s="53" t="s">
        <v>9</v>
      </c>
      <c r="D28" s="71" t="s">
        <v>29</v>
      </c>
      <c r="E28" s="67" t="s">
        <v>70</v>
      </c>
      <c r="F28" s="61" t="s">
        <v>230</v>
      </c>
      <c r="G28" s="67" t="s">
        <v>104</v>
      </c>
      <c r="H28" s="61" t="s">
        <v>161</v>
      </c>
      <c r="I28" s="61" t="s">
        <v>225</v>
      </c>
      <c r="J28" s="61" t="s">
        <v>225</v>
      </c>
      <c r="K28" s="68" t="s">
        <v>225</v>
      </c>
      <c r="L28" s="61">
        <v>4</v>
      </c>
      <c r="M28" s="61">
        <f t="shared" si="0"/>
        <v>20</v>
      </c>
      <c r="N28" s="61">
        <v>25</v>
      </c>
      <c r="O28" s="69" t="s">
        <v>231</v>
      </c>
      <c r="P28" s="70">
        <v>2</v>
      </c>
      <c r="Q28" s="70">
        <f t="shared" si="2"/>
        <v>50</v>
      </c>
      <c r="R28" s="95" t="s">
        <v>269</v>
      </c>
      <c r="S28" s="70"/>
    </row>
    <row r="29" spans="1:19" s="64" customFormat="1" ht="24.75" thickBot="1" x14ac:dyDescent="0.3">
      <c r="A29" s="63"/>
      <c r="B29" s="37">
        <f t="shared" si="1"/>
        <v>20</v>
      </c>
      <c r="C29" s="53" t="s">
        <v>202</v>
      </c>
      <c r="D29" s="100" t="s">
        <v>30</v>
      </c>
      <c r="E29" s="61" t="s">
        <v>71</v>
      </c>
      <c r="F29" s="61" t="s">
        <v>105</v>
      </c>
      <c r="G29" s="74">
        <v>61300611121</v>
      </c>
      <c r="H29" s="61" t="s">
        <v>162</v>
      </c>
      <c r="I29" s="61" t="s">
        <v>283</v>
      </c>
      <c r="J29" s="61" t="s">
        <v>282</v>
      </c>
      <c r="K29" s="68" t="s">
        <v>225</v>
      </c>
      <c r="L29" s="101">
        <v>1</v>
      </c>
      <c r="M29" s="101">
        <f t="shared" si="0"/>
        <v>5</v>
      </c>
      <c r="N29" s="61">
        <v>20</v>
      </c>
      <c r="O29" s="69" t="s">
        <v>223</v>
      </c>
      <c r="P29" s="70">
        <v>3.3000000000000002E-2</v>
      </c>
      <c r="Q29" s="70">
        <f t="shared" si="2"/>
        <v>0.66</v>
      </c>
      <c r="R29" s="67"/>
      <c r="S29" s="70"/>
    </row>
    <row r="30" spans="1:19" s="64" customFormat="1" ht="15.75" thickBot="1" x14ac:dyDescent="0.3">
      <c r="A30" s="63"/>
      <c r="B30" s="37">
        <f>ROW(B30) - ROW($B$9)</f>
        <v>21</v>
      </c>
      <c r="C30" s="53" t="s">
        <v>203</v>
      </c>
      <c r="D30" s="90" t="s">
        <v>31</v>
      </c>
      <c r="E30" s="74" t="s">
        <v>72</v>
      </c>
      <c r="F30" s="91" t="s">
        <v>230</v>
      </c>
      <c r="G30" s="74" t="s">
        <v>106</v>
      </c>
      <c r="H30" s="91" t="s">
        <v>225</v>
      </c>
      <c r="I30" s="91" t="s">
        <v>225</v>
      </c>
      <c r="J30" s="91" t="s">
        <v>225</v>
      </c>
      <c r="K30" s="92" t="s">
        <v>225</v>
      </c>
      <c r="L30" s="91">
        <v>5</v>
      </c>
      <c r="M30" s="91">
        <f t="shared" si="0"/>
        <v>25</v>
      </c>
      <c r="N30" s="91"/>
      <c r="O30" s="93" t="s">
        <v>225</v>
      </c>
      <c r="P30" s="94" t="s">
        <v>225</v>
      </c>
      <c r="Q30" s="94" t="s">
        <v>225</v>
      </c>
      <c r="R30" s="74"/>
      <c r="S30" s="94"/>
    </row>
    <row r="31" spans="1:19" s="64" customFormat="1" ht="15.75" thickBot="1" x14ac:dyDescent="0.3">
      <c r="A31" s="63"/>
      <c r="B31" s="37">
        <f t="shared" si="1"/>
        <v>22</v>
      </c>
      <c r="C31" s="53" t="s">
        <v>204</v>
      </c>
      <c r="D31" s="100" t="s">
        <v>32</v>
      </c>
      <c r="E31" s="61" t="s">
        <v>73</v>
      </c>
      <c r="F31" s="61" t="s">
        <v>107</v>
      </c>
      <c r="G31" s="74" t="s">
        <v>139</v>
      </c>
      <c r="H31" s="61" t="s">
        <v>159</v>
      </c>
      <c r="I31" s="61" t="s">
        <v>284</v>
      </c>
      <c r="J31" s="61" t="s">
        <v>239</v>
      </c>
      <c r="K31" s="68" t="s">
        <v>193</v>
      </c>
      <c r="L31" s="101">
        <v>3</v>
      </c>
      <c r="M31" s="101">
        <f t="shared" si="0"/>
        <v>15</v>
      </c>
      <c r="N31" s="61">
        <v>100</v>
      </c>
      <c r="O31" s="69" t="s">
        <v>223</v>
      </c>
      <c r="P31" s="70">
        <v>6.9999999999999999E-4</v>
      </c>
      <c r="Q31" s="70">
        <f t="shared" si="2"/>
        <v>6.9999999999999993E-2</v>
      </c>
      <c r="R31" s="67"/>
      <c r="S31" s="70"/>
    </row>
    <row r="32" spans="1:19" s="64" customFormat="1" ht="15.75" thickBot="1" x14ac:dyDescent="0.3">
      <c r="A32" s="63"/>
      <c r="B32" s="37">
        <f>ROW(B32) - ROW($B$9)</f>
        <v>23</v>
      </c>
      <c r="C32" s="53" t="s">
        <v>204</v>
      </c>
      <c r="D32" s="71" t="s">
        <v>33</v>
      </c>
      <c r="E32" s="67" t="s">
        <v>74</v>
      </c>
      <c r="F32" s="61" t="s">
        <v>108</v>
      </c>
      <c r="G32" s="67" t="s">
        <v>140</v>
      </c>
      <c r="H32" s="61" t="s">
        <v>152</v>
      </c>
      <c r="I32" s="61" t="s">
        <v>225</v>
      </c>
      <c r="J32" s="61" t="s">
        <v>250</v>
      </c>
      <c r="K32" s="68" t="s">
        <v>194</v>
      </c>
      <c r="L32" s="61">
        <v>8</v>
      </c>
      <c r="M32" s="61">
        <f t="shared" si="0"/>
        <v>40</v>
      </c>
      <c r="N32" s="61">
        <v>100</v>
      </c>
      <c r="O32" s="69" t="s">
        <v>223</v>
      </c>
      <c r="P32" s="70">
        <v>1.1000000000000001E-3</v>
      </c>
      <c r="Q32" s="70">
        <f t="shared" si="2"/>
        <v>0.11</v>
      </c>
      <c r="R32" s="67"/>
      <c r="S32" s="70"/>
    </row>
    <row r="33" spans="1:19" s="64" customFormat="1" ht="15.75" thickBot="1" x14ac:dyDescent="0.3">
      <c r="A33" s="63"/>
      <c r="B33" s="37">
        <f t="shared" si="1"/>
        <v>24</v>
      </c>
      <c r="C33" s="53" t="s">
        <v>204</v>
      </c>
      <c r="D33" s="100" t="s">
        <v>34</v>
      </c>
      <c r="E33" s="61" t="s">
        <v>75</v>
      </c>
      <c r="F33" s="61" t="s">
        <v>107</v>
      </c>
      <c r="G33" s="67" t="s">
        <v>141</v>
      </c>
      <c r="H33" s="61" t="s">
        <v>152</v>
      </c>
      <c r="I33" s="61" t="s">
        <v>225</v>
      </c>
      <c r="J33" s="61" t="s">
        <v>242</v>
      </c>
      <c r="K33" s="68" t="s">
        <v>195</v>
      </c>
      <c r="L33" s="101">
        <v>3</v>
      </c>
      <c r="M33" s="101">
        <f t="shared" si="0"/>
        <v>15</v>
      </c>
      <c r="N33" s="61">
        <v>100</v>
      </c>
      <c r="O33" s="69" t="s">
        <v>223</v>
      </c>
      <c r="P33" s="70">
        <v>1.1999999999999999E-3</v>
      </c>
      <c r="Q33" s="70">
        <f t="shared" si="2"/>
        <v>0.12</v>
      </c>
      <c r="R33" s="67"/>
      <c r="S33" s="70"/>
    </row>
    <row r="34" spans="1:19" s="64" customFormat="1" ht="24.75" thickBot="1" x14ac:dyDescent="0.3">
      <c r="A34" s="63"/>
      <c r="B34" s="37">
        <f>ROW(B34) - ROW($B$9)</f>
        <v>25</v>
      </c>
      <c r="C34" s="53" t="s">
        <v>204</v>
      </c>
      <c r="D34" s="71" t="s">
        <v>35</v>
      </c>
      <c r="E34" s="67" t="s">
        <v>76</v>
      </c>
      <c r="F34" s="61" t="s">
        <v>108</v>
      </c>
      <c r="G34" s="67" t="s">
        <v>142</v>
      </c>
      <c r="H34" s="61" t="s">
        <v>152</v>
      </c>
      <c r="I34" s="61" t="s">
        <v>225</v>
      </c>
      <c r="J34" s="61" t="s">
        <v>177</v>
      </c>
      <c r="K34" s="68" t="s">
        <v>196</v>
      </c>
      <c r="L34" s="61">
        <v>10</v>
      </c>
      <c r="M34" s="61">
        <f t="shared" si="0"/>
        <v>50</v>
      </c>
      <c r="N34" s="61">
        <v>100</v>
      </c>
      <c r="O34" s="69" t="s">
        <v>223</v>
      </c>
      <c r="P34" s="70">
        <v>1.1000000000000001E-3</v>
      </c>
      <c r="Q34" s="70">
        <f t="shared" si="2"/>
        <v>0.11</v>
      </c>
      <c r="R34" s="67"/>
      <c r="S34" s="70"/>
    </row>
    <row r="35" spans="1:19" s="64" customFormat="1" ht="24.75" thickBot="1" x14ac:dyDescent="0.3">
      <c r="A35" s="63"/>
      <c r="B35" s="37">
        <f t="shared" si="1"/>
        <v>26</v>
      </c>
      <c r="C35" s="53" t="s">
        <v>204</v>
      </c>
      <c r="D35" s="100" t="s">
        <v>36</v>
      </c>
      <c r="E35" s="61" t="s">
        <v>77</v>
      </c>
      <c r="F35" s="61" t="s">
        <v>107</v>
      </c>
      <c r="G35" s="67" t="s">
        <v>143</v>
      </c>
      <c r="H35" s="61" t="s">
        <v>152</v>
      </c>
      <c r="I35" s="61" t="s">
        <v>225</v>
      </c>
      <c r="J35" s="61" t="s">
        <v>243</v>
      </c>
      <c r="K35" s="68" t="s">
        <v>197</v>
      </c>
      <c r="L35" s="101">
        <v>2</v>
      </c>
      <c r="M35" s="101">
        <f t="shared" si="0"/>
        <v>10</v>
      </c>
      <c r="N35" s="61">
        <v>100</v>
      </c>
      <c r="O35" s="69" t="s">
        <v>223</v>
      </c>
      <c r="P35" s="70">
        <v>1.1000000000000001E-3</v>
      </c>
      <c r="Q35" s="70">
        <f t="shared" si="2"/>
        <v>0.11</v>
      </c>
      <c r="R35" s="67"/>
      <c r="S35" s="70"/>
    </row>
    <row r="36" spans="1:19" s="64" customFormat="1" ht="36.75" thickBot="1" x14ac:dyDescent="0.3">
      <c r="A36" s="63"/>
      <c r="B36" s="37">
        <f>ROW(B36) - ROW($B$9)</f>
        <v>27</v>
      </c>
      <c r="C36" s="53" t="s">
        <v>204</v>
      </c>
      <c r="D36" s="71" t="s">
        <v>259</v>
      </c>
      <c r="E36" s="67" t="s">
        <v>78</v>
      </c>
      <c r="F36" s="61" t="s">
        <v>109</v>
      </c>
      <c r="G36" s="67" t="s">
        <v>144</v>
      </c>
      <c r="H36" s="61" t="s">
        <v>152</v>
      </c>
      <c r="I36" s="61" t="s">
        <v>225</v>
      </c>
      <c r="J36" s="61" t="s">
        <v>178</v>
      </c>
      <c r="K36" s="68" t="s">
        <v>198</v>
      </c>
      <c r="L36" s="61">
        <v>17</v>
      </c>
      <c r="M36" s="61">
        <f t="shared" si="0"/>
        <v>85</v>
      </c>
      <c r="N36" s="61">
        <v>100</v>
      </c>
      <c r="O36" s="69" t="s">
        <v>223</v>
      </c>
      <c r="P36" s="70">
        <v>5.9999999999999995E-4</v>
      </c>
      <c r="Q36" s="70">
        <f t="shared" si="2"/>
        <v>0.06</v>
      </c>
      <c r="R36" s="67"/>
      <c r="S36" s="70"/>
    </row>
    <row r="37" spans="1:19" s="64" customFormat="1" ht="15.75" thickBot="1" x14ac:dyDescent="0.3">
      <c r="A37" s="63"/>
      <c r="B37" s="37">
        <f>ROW(B37) - ROW($B$9)</f>
        <v>28</v>
      </c>
      <c r="C37" s="53" t="s">
        <v>204</v>
      </c>
      <c r="D37" s="100" t="s">
        <v>37</v>
      </c>
      <c r="E37" s="61" t="s">
        <v>79</v>
      </c>
      <c r="F37" s="61" t="s">
        <v>108</v>
      </c>
      <c r="G37" s="67" t="s">
        <v>145</v>
      </c>
      <c r="H37" s="61" t="s">
        <v>152</v>
      </c>
      <c r="I37" s="61" t="s">
        <v>225</v>
      </c>
      <c r="J37" s="61" t="s">
        <v>251</v>
      </c>
      <c r="K37" s="68" t="s">
        <v>199</v>
      </c>
      <c r="L37" s="101">
        <v>4</v>
      </c>
      <c r="M37" s="101">
        <f t="shared" si="0"/>
        <v>20</v>
      </c>
      <c r="N37" s="61">
        <v>100</v>
      </c>
      <c r="O37" s="69" t="s">
        <v>223</v>
      </c>
      <c r="P37" s="70">
        <v>1.2999999999999999E-3</v>
      </c>
      <c r="Q37" s="70">
        <f t="shared" si="2"/>
        <v>0.13</v>
      </c>
      <c r="R37" s="67"/>
      <c r="S37" s="70"/>
    </row>
    <row r="38" spans="1:19" s="64" customFormat="1" ht="216.75" thickBot="1" x14ac:dyDescent="0.3">
      <c r="A38" s="63"/>
      <c r="B38" s="37">
        <f t="shared" si="1"/>
        <v>29</v>
      </c>
      <c r="C38" s="53" t="s">
        <v>205</v>
      </c>
      <c r="D38" s="90" t="s">
        <v>38</v>
      </c>
      <c r="E38" s="74" t="s">
        <v>80</v>
      </c>
      <c r="F38" s="91" t="s">
        <v>230</v>
      </c>
      <c r="G38" s="74" t="s">
        <v>110</v>
      </c>
      <c r="H38" s="91" t="s">
        <v>225</v>
      </c>
      <c r="I38" s="91" t="s">
        <v>225</v>
      </c>
      <c r="J38" s="91" t="s">
        <v>225</v>
      </c>
      <c r="K38" s="92" t="s">
        <v>225</v>
      </c>
      <c r="L38" s="91">
        <v>106</v>
      </c>
      <c r="M38" s="91">
        <f t="shared" si="0"/>
        <v>530</v>
      </c>
      <c r="N38" s="91"/>
      <c r="O38" s="93" t="s">
        <v>225</v>
      </c>
      <c r="P38" s="94" t="s">
        <v>225</v>
      </c>
      <c r="Q38" s="94" t="s">
        <v>225</v>
      </c>
      <c r="R38" s="74"/>
      <c r="S38" s="94"/>
    </row>
    <row r="39" spans="1:19" s="64" customFormat="1" ht="36.75" thickBot="1" x14ac:dyDescent="0.3">
      <c r="A39" s="63"/>
      <c r="B39" s="37">
        <f>ROW(B39) - ROW($B$9)</f>
        <v>30</v>
      </c>
      <c r="C39" s="53" t="s">
        <v>206</v>
      </c>
      <c r="D39" s="100" t="s">
        <v>39</v>
      </c>
      <c r="E39" s="61" t="s">
        <v>81</v>
      </c>
      <c r="F39" s="61" t="s">
        <v>230</v>
      </c>
      <c r="G39" s="67" t="s">
        <v>111</v>
      </c>
      <c r="H39" s="61" t="s">
        <v>160</v>
      </c>
      <c r="I39" s="61" t="s">
        <v>225</v>
      </c>
      <c r="J39" s="61" t="s">
        <v>275</v>
      </c>
      <c r="K39" s="68" t="s">
        <v>225</v>
      </c>
      <c r="L39" s="101">
        <v>1</v>
      </c>
      <c r="M39" s="101">
        <f t="shared" si="0"/>
        <v>5</v>
      </c>
      <c r="N39" s="61">
        <v>10</v>
      </c>
      <c r="O39" s="69" t="s">
        <v>223</v>
      </c>
      <c r="P39" s="70">
        <v>5.7599999999999998E-2</v>
      </c>
      <c r="Q39" s="70">
        <f t="shared" si="2"/>
        <v>0.57599999999999996</v>
      </c>
      <c r="R39" s="95"/>
      <c r="S39" s="70"/>
    </row>
    <row r="40" spans="1:19" s="64" customFormat="1" ht="24.75" thickBot="1" x14ac:dyDescent="0.3">
      <c r="A40" s="63"/>
      <c r="B40" s="37">
        <f t="shared" si="1"/>
        <v>31</v>
      </c>
      <c r="C40" s="53" t="s">
        <v>10</v>
      </c>
      <c r="D40" s="71" t="s">
        <v>40</v>
      </c>
      <c r="E40" s="67" t="s">
        <v>82</v>
      </c>
      <c r="F40" s="61" t="s">
        <v>230</v>
      </c>
      <c r="G40" s="67" t="s">
        <v>112</v>
      </c>
      <c r="H40" s="61" t="s">
        <v>163</v>
      </c>
      <c r="I40" s="61" t="s">
        <v>225</v>
      </c>
      <c r="J40" s="61" t="s">
        <v>179</v>
      </c>
      <c r="K40" s="68" t="s">
        <v>225</v>
      </c>
      <c r="L40" s="61">
        <v>1</v>
      </c>
      <c r="M40" s="61">
        <f t="shared" si="0"/>
        <v>5</v>
      </c>
      <c r="N40" s="61">
        <v>6</v>
      </c>
      <c r="O40" s="69" t="s">
        <v>223</v>
      </c>
      <c r="P40" s="70">
        <v>4.1506999999999996</v>
      </c>
      <c r="Q40" s="70">
        <f t="shared" si="2"/>
        <v>24.904199999999996</v>
      </c>
      <c r="R40" s="67"/>
      <c r="S40" s="70"/>
    </row>
    <row r="41" spans="1:19" s="64" customFormat="1" ht="24.75" thickBot="1" x14ac:dyDescent="0.3">
      <c r="A41" s="63"/>
      <c r="B41" s="37">
        <f>ROW(B41) - ROW($B$9)</f>
        <v>32</v>
      </c>
      <c r="C41" s="53" t="s">
        <v>11</v>
      </c>
      <c r="D41" s="100" t="s">
        <v>41</v>
      </c>
      <c r="E41" s="61" t="s">
        <v>83</v>
      </c>
      <c r="F41" s="61" t="s">
        <v>113</v>
      </c>
      <c r="G41" s="67" t="s">
        <v>146</v>
      </c>
      <c r="H41" s="61" t="s">
        <v>158</v>
      </c>
      <c r="I41" s="61" t="s">
        <v>225</v>
      </c>
      <c r="J41" s="61" t="s">
        <v>180</v>
      </c>
      <c r="K41" s="68" t="s">
        <v>225</v>
      </c>
      <c r="L41" s="101">
        <v>8</v>
      </c>
      <c r="M41" s="101">
        <f t="shared" si="0"/>
        <v>40</v>
      </c>
      <c r="N41" s="61">
        <v>42</v>
      </c>
      <c r="O41" s="69" t="s">
        <v>223</v>
      </c>
      <c r="P41" s="70">
        <v>4.2987000000000002</v>
      </c>
      <c r="Q41" s="70">
        <f t="shared" si="2"/>
        <v>180.5454</v>
      </c>
      <c r="R41" s="67"/>
      <c r="S41" s="70"/>
    </row>
    <row r="42" spans="1:19" s="64" customFormat="1" ht="36.75" thickBot="1" x14ac:dyDescent="0.3">
      <c r="A42" s="63"/>
      <c r="B42" s="37">
        <f t="shared" si="1"/>
        <v>33</v>
      </c>
      <c r="C42" s="53" t="s">
        <v>11</v>
      </c>
      <c r="D42" s="71" t="s">
        <v>42</v>
      </c>
      <c r="E42" s="67" t="s">
        <v>84</v>
      </c>
      <c r="F42" s="61" t="s">
        <v>114</v>
      </c>
      <c r="G42" s="67" t="s">
        <v>147</v>
      </c>
      <c r="H42" s="61" t="s">
        <v>164</v>
      </c>
      <c r="I42" s="61" t="s">
        <v>225</v>
      </c>
      <c r="J42" s="61" t="s">
        <v>252</v>
      </c>
      <c r="K42" s="68" t="s">
        <v>225</v>
      </c>
      <c r="L42" s="61">
        <v>1</v>
      </c>
      <c r="M42" s="61">
        <f t="shared" si="0"/>
        <v>5</v>
      </c>
      <c r="N42" s="61">
        <v>6</v>
      </c>
      <c r="O42" s="69" t="s">
        <v>223</v>
      </c>
      <c r="P42" s="70">
        <v>0.51070000000000004</v>
      </c>
      <c r="Q42" s="70">
        <f t="shared" si="2"/>
        <v>3.0642000000000005</v>
      </c>
      <c r="R42" s="67"/>
      <c r="S42" s="70"/>
    </row>
    <row r="43" spans="1:19" s="64" customFormat="1" ht="30.75" thickBot="1" x14ac:dyDescent="0.3">
      <c r="A43" s="63"/>
      <c r="B43" s="37">
        <f>ROW(B43) - ROW($B$9)</f>
        <v>34</v>
      </c>
      <c r="C43" s="53" t="s">
        <v>11</v>
      </c>
      <c r="D43" s="100" t="s">
        <v>43</v>
      </c>
      <c r="E43" s="61" t="s">
        <v>85</v>
      </c>
      <c r="F43" s="61" t="s">
        <v>115</v>
      </c>
      <c r="G43" s="67" t="s">
        <v>148</v>
      </c>
      <c r="H43" s="61" t="s">
        <v>158</v>
      </c>
      <c r="I43" s="61" t="s">
        <v>225</v>
      </c>
      <c r="J43" s="61" t="s">
        <v>225</v>
      </c>
      <c r="K43" s="68" t="s">
        <v>225</v>
      </c>
      <c r="L43" s="101">
        <v>1</v>
      </c>
      <c r="M43" s="101">
        <f t="shared" si="0"/>
        <v>5</v>
      </c>
      <c r="N43" s="61">
        <v>6</v>
      </c>
      <c r="O43" s="69" t="s">
        <v>231</v>
      </c>
      <c r="P43" s="70">
        <v>12.6</v>
      </c>
      <c r="Q43" s="70">
        <f t="shared" si="2"/>
        <v>75.599999999999994</v>
      </c>
      <c r="R43" s="95" t="s">
        <v>269</v>
      </c>
      <c r="S43" s="70"/>
    </row>
    <row r="44" spans="1:19" s="64" customFormat="1" ht="24.75" thickBot="1" x14ac:dyDescent="0.3">
      <c r="A44" s="63"/>
      <c r="B44" s="37">
        <f t="shared" si="1"/>
        <v>35</v>
      </c>
      <c r="C44" s="53" t="s">
        <v>11</v>
      </c>
      <c r="D44" s="71" t="s">
        <v>44</v>
      </c>
      <c r="E44" s="67" t="s">
        <v>86</v>
      </c>
      <c r="F44" s="61" t="s">
        <v>240</v>
      </c>
      <c r="G44" s="67" t="s">
        <v>116</v>
      </c>
      <c r="H44" s="61" t="s">
        <v>158</v>
      </c>
      <c r="I44" s="61" t="s">
        <v>225</v>
      </c>
      <c r="J44" s="61" t="s">
        <v>233</v>
      </c>
      <c r="K44" s="68" t="s">
        <v>225</v>
      </c>
      <c r="L44" s="61">
        <v>2</v>
      </c>
      <c r="M44" s="61">
        <f t="shared" si="0"/>
        <v>10</v>
      </c>
      <c r="N44" s="61">
        <v>11</v>
      </c>
      <c r="O44" s="69" t="s">
        <v>223</v>
      </c>
      <c r="P44" s="70">
        <v>3.8660000000000001</v>
      </c>
      <c r="Q44" s="70">
        <f t="shared" si="2"/>
        <v>42.526000000000003</v>
      </c>
      <c r="R44" s="67"/>
      <c r="S44" s="70"/>
    </row>
    <row r="45" spans="1:19" s="64" customFormat="1" ht="36.75" thickBot="1" x14ac:dyDescent="0.3">
      <c r="A45" s="63"/>
      <c r="B45" s="37">
        <f>ROW(B45) - ROW($B$9)</f>
        <v>36</v>
      </c>
      <c r="C45" s="53" t="s">
        <v>11</v>
      </c>
      <c r="D45" s="100" t="s">
        <v>45</v>
      </c>
      <c r="E45" s="61" t="s">
        <v>87</v>
      </c>
      <c r="F45" s="61" t="s">
        <v>241</v>
      </c>
      <c r="G45" s="102" t="s">
        <v>117</v>
      </c>
      <c r="H45" s="61" t="s">
        <v>165</v>
      </c>
      <c r="I45" s="61" t="s">
        <v>225</v>
      </c>
      <c r="J45" s="61" t="s">
        <v>299</v>
      </c>
      <c r="K45" s="68" t="s">
        <v>225</v>
      </c>
      <c r="L45" s="101">
        <v>1</v>
      </c>
      <c r="M45" s="101">
        <f t="shared" si="0"/>
        <v>5</v>
      </c>
      <c r="N45" s="61">
        <v>10</v>
      </c>
      <c r="O45" s="69" t="s">
        <v>223</v>
      </c>
      <c r="P45" s="70">
        <v>4.8899999999999999E-2</v>
      </c>
      <c r="Q45" s="70">
        <f t="shared" si="2"/>
        <v>0.48899999999999999</v>
      </c>
      <c r="R45" s="67"/>
      <c r="S45" s="70"/>
    </row>
    <row r="46" spans="1:19" s="64" customFormat="1" ht="30.75" thickBot="1" x14ac:dyDescent="0.3">
      <c r="A46" s="63"/>
      <c r="B46" s="37">
        <f t="shared" si="1"/>
        <v>37</v>
      </c>
      <c r="C46" s="53" t="s">
        <v>11</v>
      </c>
      <c r="D46" s="71" t="s">
        <v>46</v>
      </c>
      <c r="E46" s="67" t="s">
        <v>88</v>
      </c>
      <c r="F46" s="61" t="s">
        <v>118</v>
      </c>
      <c r="G46" s="67" t="s">
        <v>149</v>
      </c>
      <c r="H46" s="61" t="s">
        <v>158</v>
      </c>
      <c r="I46" s="61" t="s">
        <v>225</v>
      </c>
      <c r="J46" s="61" t="s">
        <v>225</v>
      </c>
      <c r="K46" s="68" t="s">
        <v>225</v>
      </c>
      <c r="L46" s="61">
        <v>1</v>
      </c>
      <c r="M46" s="61">
        <f t="shared" si="0"/>
        <v>5</v>
      </c>
      <c r="N46" s="61">
        <v>6</v>
      </c>
      <c r="O46" s="69" t="s">
        <v>231</v>
      </c>
      <c r="P46" s="70">
        <v>7.3</v>
      </c>
      <c r="Q46" s="70">
        <f t="shared" si="2"/>
        <v>43.8</v>
      </c>
      <c r="R46" s="95" t="s">
        <v>269</v>
      </c>
      <c r="S46" s="70"/>
    </row>
    <row r="47" spans="1:19" s="64" customFormat="1" ht="30.75" thickBot="1" x14ac:dyDescent="0.3">
      <c r="A47" s="63"/>
      <c r="B47" s="37">
        <f>ROW(B47) - ROW($B$9)</f>
        <v>38</v>
      </c>
      <c r="C47" s="53" t="s">
        <v>11</v>
      </c>
      <c r="D47" s="100" t="s">
        <v>47</v>
      </c>
      <c r="E47" s="61" t="s">
        <v>89</v>
      </c>
      <c r="F47" s="61" t="s">
        <v>119</v>
      </c>
      <c r="G47" s="67" t="s">
        <v>150</v>
      </c>
      <c r="H47" s="61" t="s">
        <v>166</v>
      </c>
      <c r="I47" s="61" t="s">
        <v>225</v>
      </c>
      <c r="J47" s="61" t="s">
        <v>225</v>
      </c>
      <c r="K47" s="68" t="s">
        <v>225</v>
      </c>
      <c r="L47" s="101">
        <v>4</v>
      </c>
      <c r="M47" s="101">
        <f t="shared" si="0"/>
        <v>20</v>
      </c>
      <c r="N47" s="61">
        <v>21</v>
      </c>
      <c r="O47" s="69" t="s">
        <v>231</v>
      </c>
      <c r="P47" s="70">
        <v>4.2</v>
      </c>
      <c r="Q47" s="70">
        <f t="shared" si="2"/>
        <v>88.2</v>
      </c>
      <c r="R47" s="95" t="s">
        <v>269</v>
      </c>
      <c r="S47" s="70"/>
    </row>
    <row r="48" spans="1:19" s="64" customFormat="1" ht="48.75" thickBot="1" x14ac:dyDescent="0.3">
      <c r="A48" s="63"/>
      <c r="B48" s="37">
        <f t="shared" si="1"/>
        <v>39</v>
      </c>
      <c r="C48" s="53" t="s">
        <v>207</v>
      </c>
      <c r="D48" s="71" t="s">
        <v>48</v>
      </c>
      <c r="E48" s="67" t="s">
        <v>90</v>
      </c>
      <c r="F48" s="61" t="s">
        <v>230</v>
      </c>
      <c r="G48" s="67" t="s">
        <v>120</v>
      </c>
      <c r="H48" s="61" t="s">
        <v>167</v>
      </c>
      <c r="I48" s="61" t="s">
        <v>225</v>
      </c>
      <c r="J48" s="61" t="s">
        <v>234</v>
      </c>
      <c r="K48" s="68" t="s">
        <v>235</v>
      </c>
      <c r="L48" s="61">
        <v>1</v>
      </c>
      <c r="M48" s="61">
        <f t="shared" si="0"/>
        <v>5</v>
      </c>
      <c r="N48" s="61">
        <v>6</v>
      </c>
      <c r="O48" s="69" t="s">
        <v>223</v>
      </c>
      <c r="P48" s="70">
        <v>0.23039999999999999</v>
      </c>
      <c r="Q48" s="70">
        <f t="shared" si="2"/>
        <v>1.3824000000000001</v>
      </c>
      <c r="R48" s="67"/>
      <c r="S48" s="70"/>
    </row>
    <row r="49" spans="1:19" s="64" customFormat="1" ht="48.75" thickBot="1" x14ac:dyDescent="0.3">
      <c r="A49" s="63"/>
      <c r="B49" s="37">
        <f>ROW(B49) - ROW($B$9)</f>
        <v>40</v>
      </c>
      <c r="C49" s="53" t="s">
        <v>207</v>
      </c>
      <c r="D49" s="100" t="s">
        <v>49</v>
      </c>
      <c r="E49" s="61" t="s">
        <v>91</v>
      </c>
      <c r="F49" s="61" t="s">
        <v>230</v>
      </c>
      <c r="G49" s="67" t="s">
        <v>121</v>
      </c>
      <c r="H49" s="61" t="s">
        <v>168</v>
      </c>
      <c r="I49" s="61" t="s">
        <v>225</v>
      </c>
      <c r="J49" s="61" t="s">
        <v>236</v>
      </c>
      <c r="K49" s="68" t="s">
        <v>237</v>
      </c>
      <c r="L49" s="103">
        <v>2</v>
      </c>
      <c r="M49" s="103">
        <f t="shared" si="0"/>
        <v>10</v>
      </c>
      <c r="N49" s="61">
        <v>15</v>
      </c>
      <c r="O49" s="69" t="s">
        <v>223</v>
      </c>
      <c r="P49" s="70">
        <v>7.6899999999999996E-2</v>
      </c>
      <c r="Q49" s="70">
        <f t="shared" si="2"/>
        <v>1.1535</v>
      </c>
      <c r="R49" s="67"/>
      <c r="S49" s="70"/>
    </row>
    <row r="50" spans="1:19" ht="19.5" thickBot="1" x14ac:dyDescent="0.3">
      <c r="A50" s="1"/>
      <c r="B50" s="32"/>
      <c r="C50" s="43"/>
      <c r="D50" s="33"/>
      <c r="E50" s="34"/>
      <c r="F50" s="35"/>
      <c r="G50" s="36"/>
      <c r="H50" s="35"/>
      <c r="I50" s="36"/>
      <c r="J50" s="35"/>
      <c r="K50" s="36"/>
      <c r="L50" s="60"/>
      <c r="M50" s="36"/>
      <c r="N50" s="108" t="s">
        <v>217</v>
      </c>
      <c r="O50" s="109"/>
      <c r="P50" s="109"/>
      <c r="Q50" s="56">
        <f>SUM(Q10:Q49)</f>
        <v>575.70330000000001</v>
      </c>
      <c r="R50" s="110"/>
      <c r="S50" s="111"/>
    </row>
    <row r="51" spans="1:19" ht="19.5" thickBot="1" x14ac:dyDescent="0.3">
      <c r="A51" s="1"/>
      <c r="B51" s="25"/>
      <c r="C51" s="44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8" t="s">
        <v>218</v>
      </c>
      <c r="O51" s="109"/>
      <c r="P51" s="109"/>
      <c r="Q51" s="57">
        <f>Q50/5</f>
        <v>115.14066</v>
      </c>
      <c r="R51" s="112"/>
      <c r="S51" s="113"/>
    </row>
  </sheetData>
  <mergeCells count="5">
    <mergeCell ref="K1:S1"/>
    <mergeCell ref="S3:S8"/>
    <mergeCell ref="N50:P50"/>
    <mergeCell ref="R50:S51"/>
    <mergeCell ref="N51:P51"/>
  </mergeCells>
  <hyperlinks>
    <hyperlink ref="O13" r:id="rId1"/>
    <hyperlink ref="O22" r:id="rId2"/>
    <hyperlink ref="O23" r:id="rId3"/>
    <hyperlink ref="O26" r:id="rId4"/>
    <hyperlink ref="O29" r:id="rId5"/>
    <hyperlink ref="O44" r:id="rId6"/>
    <hyperlink ref="O31" r:id="rId7"/>
    <hyperlink ref="O40" r:id="rId8"/>
    <hyperlink ref="O35" r:id="rId9"/>
    <hyperlink ref="O10" r:id="rId10"/>
    <hyperlink ref="O12" r:id="rId11"/>
    <hyperlink ref="O15" r:id="rId12"/>
    <hyperlink ref="O16" r:id="rId13"/>
    <hyperlink ref="O19" r:id="rId14"/>
    <hyperlink ref="O11" r:id="rId15"/>
    <hyperlink ref="O20" r:id="rId16"/>
    <hyperlink ref="O17" r:id="rId17"/>
    <hyperlink ref="O25" r:id="rId18"/>
    <hyperlink ref="O32" r:id="rId19"/>
    <hyperlink ref="O33" r:id="rId20"/>
    <hyperlink ref="O34" r:id="rId21"/>
    <hyperlink ref="O36" r:id="rId22"/>
    <hyperlink ref="O37" r:id="rId23"/>
    <hyperlink ref="O41" r:id="rId24"/>
    <hyperlink ref="O42" r:id="rId25"/>
    <hyperlink ref="O48" r:id="rId26"/>
    <hyperlink ref="O49" r:id="rId27"/>
    <hyperlink ref="O14" r:id="rId28"/>
    <hyperlink ref="O18" r:id="rId29"/>
    <hyperlink ref="O39" r:id="rId30"/>
    <hyperlink ref="O27" r:id="rId31"/>
    <hyperlink ref="O21" r:id="rId32"/>
    <hyperlink ref="O24" r:id="rId33"/>
    <hyperlink ref="O45" r:id="rId34"/>
  </hyperlinks>
  <pageMargins left="0.7" right="0.7" top="0.75" bottom="0.75" header="0.3" footer="0.3"/>
  <drawing r:id="rId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1"/>
  <sheetViews>
    <sheetView topLeftCell="A37" workbookViewId="0">
      <selection activeCell="J9" sqref="J9:J49"/>
    </sheetView>
  </sheetViews>
  <sheetFormatPr defaultRowHeight="15" x14ac:dyDescent="0.25"/>
  <cols>
    <col min="2" max="2" width="3" bestFit="1" customWidth="1"/>
    <col min="3" max="3" width="14.28515625" bestFit="1" customWidth="1"/>
    <col min="4" max="4" width="31.140625" bestFit="1" customWidth="1"/>
    <col min="5" max="5" width="47.7109375" customWidth="1"/>
    <col min="6" max="6" width="30.5703125" customWidth="1"/>
    <col min="7" max="7" width="25.28515625" bestFit="1" customWidth="1"/>
    <col min="8" max="8" width="15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8.28515625" bestFit="1" customWidth="1"/>
    <col min="14" max="14" width="16.140625" bestFit="1" customWidth="1"/>
    <col min="15" max="15" width="10.140625" customWidth="1"/>
    <col min="16" max="16" width="18.7109375" bestFit="1" customWidth="1"/>
    <col min="17" max="17" width="19.28515625" bestFit="1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4"/>
      <c r="L1" s="104"/>
      <c r="M1" s="104"/>
      <c r="N1" s="104"/>
      <c r="O1" s="104"/>
      <c r="P1" s="104"/>
      <c r="Q1" s="104"/>
      <c r="R1" s="104"/>
      <c r="S1" s="105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6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7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7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7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7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7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0" t="s">
        <v>200</v>
      </c>
      <c r="M9" s="30" t="s">
        <v>295</v>
      </c>
      <c r="N9" s="31" t="s">
        <v>296</v>
      </c>
      <c r="O9" s="30" t="s">
        <v>212</v>
      </c>
      <c r="P9" s="31" t="s">
        <v>297</v>
      </c>
      <c r="Q9" s="30" t="s">
        <v>298</v>
      </c>
      <c r="R9" s="31" t="s">
        <v>215</v>
      </c>
      <c r="S9" s="30" t="s">
        <v>216</v>
      </c>
    </row>
    <row r="10" spans="1:19" s="64" customFormat="1" ht="24.75" thickBot="1" x14ac:dyDescent="0.3">
      <c r="A10" s="63"/>
      <c r="B10" s="37">
        <f>ROW(B10) - ROW($B$9)</f>
        <v>1</v>
      </c>
      <c r="C10" s="53" t="s">
        <v>7</v>
      </c>
      <c r="D10" s="71" t="s">
        <v>294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9</v>
      </c>
      <c r="M10" s="61">
        <f>L10*10</f>
        <v>90</v>
      </c>
      <c r="N10" s="61">
        <v>100</v>
      </c>
      <c r="O10" s="69" t="s">
        <v>223</v>
      </c>
      <c r="P10" s="70">
        <v>2.3599999999999999E-2</v>
      </c>
      <c r="Q10" s="70">
        <f>P10*N10</f>
        <v>2.36</v>
      </c>
      <c r="R10" s="67"/>
      <c r="S10" s="70"/>
    </row>
    <row r="11" spans="1:19" s="64" customFormat="1" ht="84.75" thickBot="1" x14ac:dyDescent="0.3">
      <c r="A11" s="63"/>
      <c r="B11" s="37">
        <f>ROW(B11) - ROW($B$9)</f>
        <v>2</v>
      </c>
      <c r="C11" s="53" t="s">
        <v>7</v>
      </c>
      <c r="D11" s="71" t="s">
        <v>285</v>
      </c>
      <c r="E11" s="67" t="s">
        <v>60</v>
      </c>
      <c r="F11" s="61" t="s">
        <v>97</v>
      </c>
      <c r="G11" s="67" t="s">
        <v>131</v>
      </c>
      <c r="H11" s="61" t="s">
        <v>152</v>
      </c>
      <c r="I11" s="61" t="s">
        <v>225</v>
      </c>
      <c r="J11" s="61" t="s">
        <v>173</v>
      </c>
      <c r="K11" s="68" t="s">
        <v>183</v>
      </c>
      <c r="L11" s="61">
        <v>51</v>
      </c>
      <c r="M11" s="61">
        <f t="shared" ref="M11:M49" si="0">L11*10</f>
        <v>510</v>
      </c>
      <c r="N11" s="61">
        <v>550</v>
      </c>
      <c r="O11" s="69" t="s">
        <v>223</v>
      </c>
      <c r="P11" s="70">
        <v>7.7000000000000002E-3</v>
      </c>
      <c r="Q11" s="70">
        <f>P11*N11</f>
        <v>4.2350000000000003</v>
      </c>
      <c r="R11" s="67"/>
      <c r="S11" s="70"/>
    </row>
    <row r="12" spans="1:19" s="64" customFormat="1" ht="24.75" thickBot="1" x14ac:dyDescent="0.3">
      <c r="A12" s="63"/>
      <c r="B12" s="37">
        <f t="shared" ref="B12:B48" si="1">ROW(B12) - ROW($B$9)</f>
        <v>3</v>
      </c>
      <c r="C12" s="53" t="s">
        <v>7</v>
      </c>
      <c r="D12" s="100" t="s">
        <v>15</v>
      </c>
      <c r="E12" s="61" t="s">
        <v>53</v>
      </c>
      <c r="F12" s="61" t="s">
        <v>95</v>
      </c>
      <c r="G12" s="67" t="s">
        <v>125</v>
      </c>
      <c r="H12" s="61" t="s">
        <v>152</v>
      </c>
      <c r="I12" s="61" t="s">
        <v>225</v>
      </c>
      <c r="J12" s="61" t="s">
        <v>245</v>
      </c>
      <c r="K12" s="68" t="s">
        <v>184</v>
      </c>
      <c r="L12" s="101">
        <v>12</v>
      </c>
      <c r="M12" s="61">
        <f t="shared" si="0"/>
        <v>120</v>
      </c>
      <c r="N12" s="61">
        <v>200</v>
      </c>
      <c r="O12" s="69" t="s">
        <v>223</v>
      </c>
      <c r="P12" s="70">
        <v>2.5000000000000001E-3</v>
      </c>
      <c r="Q12" s="70">
        <f t="shared" ref="Q12:Q49" si="2">P12*N12</f>
        <v>0.5</v>
      </c>
      <c r="R12" s="67"/>
      <c r="S12" s="70"/>
    </row>
    <row r="13" spans="1:19" s="64" customFormat="1" ht="15.75" thickBot="1" x14ac:dyDescent="0.3">
      <c r="A13" s="63"/>
      <c r="B13" s="37">
        <f>ROW(B13) - ROW($B$9)</f>
        <v>4</v>
      </c>
      <c r="C13" s="53" t="s">
        <v>7</v>
      </c>
      <c r="D13" s="71" t="s">
        <v>16</v>
      </c>
      <c r="E13" s="67" t="s">
        <v>54</v>
      </c>
      <c r="F13" s="61" t="s">
        <v>96</v>
      </c>
      <c r="G13" s="67" t="s">
        <v>126</v>
      </c>
      <c r="H13" s="61" t="s">
        <v>154</v>
      </c>
      <c r="I13" s="61" t="s">
        <v>225</v>
      </c>
      <c r="J13" s="61" t="s">
        <v>171</v>
      </c>
      <c r="K13" s="68" t="s">
        <v>185</v>
      </c>
      <c r="L13" s="61">
        <v>2</v>
      </c>
      <c r="M13" s="61">
        <f t="shared" si="0"/>
        <v>20</v>
      </c>
      <c r="N13" s="61">
        <v>21</v>
      </c>
      <c r="O13" s="69" t="s">
        <v>223</v>
      </c>
      <c r="P13" s="70">
        <v>1.2005999999999999</v>
      </c>
      <c r="Q13" s="70">
        <f t="shared" si="2"/>
        <v>25.212599999999998</v>
      </c>
      <c r="R13" s="67"/>
      <c r="S13" s="70"/>
    </row>
    <row r="14" spans="1:19" s="64" customFormat="1" ht="24.75" thickBot="1" x14ac:dyDescent="0.3">
      <c r="A14" s="63"/>
      <c r="B14" s="37">
        <f>ROW(B14) - ROW($B$9)</f>
        <v>5</v>
      </c>
      <c r="C14" s="53" t="s">
        <v>7</v>
      </c>
      <c r="D14" s="100" t="s">
        <v>261</v>
      </c>
      <c r="E14" s="61" t="s">
        <v>55</v>
      </c>
      <c r="F14" s="61" t="s">
        <v>93</v>
      </c>
      <c r="G14" s="74" t="s">
        <v>127</v>
      </c>
      <c r="H14" s="61" t="s">
        <v>152</v>
      </c>
      <c r="I14" s="61" t="s">
        <v>262</v>
      </c>
      <c r="J14" s="61" t="s">
        <v>263</v>
      </c>
      <c r="K14" s="68" t="s">
        <v>186</v>
      </c>
      <c r="L14" s="101">
        <v>16</v>
      </c>
      <c r="M14" s="61">
        <f t="shared" si="0"/>
        <v>160</v>
      </c>
      <c r="N14" s="61">
        <v>200</v>
      </c>
      <c r="O14" s="69" t="s">
        <v>223</v>
      </c>
      <c r="P14" s="70">
        <v>2.5000000000000001E-3</v>
      </c>
      <c r="Q14" s="70">
        <f t="shared" si="2"/>
        <v>0.5</v>
      </c>
      <c r="R14" s="67"/>
      <c r="S14" s="70"/>
    </row>
    <row r="15" spans="1:19" s="64" customFormat="1" ht="15.75" thickBot="1" x14ac:dyDescent="0.3">
      <c r="A15" s="63"/>
      <c r="B15" s="37">
        <f t="shared" si="1"/>
        <v>6</v>
      </c>
      <c r="C15" s="53" t="s">
        <v>7</v>
      </c>
      <c r="D15" s="71" t="s">
        <v>17</v>
      </c>
      <c r="E15" s="67" t="s">
        <v>56</v>
      </c>
      <c r="F15" s="61" t="s">
        <v>94</v>
      </c>
      <c r="G15" s="67" t="s">
        <v>128</v>
      </c>
      <c r="H15" s="61" t="s">
        <v>155</v>
      </c>
      <c r="I15" s="61" t="s">
        <v>225</v>
      </c>
      <c r="J15" s="61" t="s">
        <v>246</v>
      </c>
      <c r="K15" s="68" t="s">
        <v>187</v>
      </c>
      <c r="L15" s="61">
        <v>1</v>
      </c>
      <c r="M15" s="61">
        <f t="shared" si="0"/>
        <v>10</v>
      </c>
      <c r="N15" s="61">
        <v>20</v>
      </c>
      <c r="O15" s="69" t="s">
        <v>223</v>
      </c>
      <c r="P15" s="70">
        <v>3.7699999999999997E-2</v>
      </c>
      <c r="Q15" s="70">
        <f t="shared" si="2"/>
        <v>0.754</v>
      </c>
      <c r="R15" s="67"/>
      <c r="S15" s="70"/>
    </row>
    <row r="16" spans="1:19" s="64" customFormat="1" ht="15.75" thickBot="1" x14ac:dyDescent="0.3">
      <c r="A16" s="63"/>
      <c r="B16" s="37">
        <f>ROW(B16) - ROW($B$9)</f>
        <v>7</v>
      </c>
      <c r="C16" s="53" t="s">
        <v>7</v>
      </c>
      <c r="D16" s="100" t="s">
        <v>18</v>
      </c>
      <c r="E16" s="61" t="s">
        <v>57</v>
      </c>
      <c r="F16" s="61" t="s">
        <v>94</v>
      </c>
      <c r="G16" s="67" t="s">
        <v>129</v>
      </c>
      <c r="H16" s="61" t="s">
        <v>152</v>
      </c>
      <c r="I16" s="61" t="s">
        <v>225</v>
      </c>
      <c r="J16" s="61" t="s">
        <v>247</v>
      </c>
      <c r="K16" s="68" t="s">
        <v>188</v>
      </c>
      <c r="L16" s="101">
        <v>6</v>
      </c>
      <c r="M16" s="61">
        <f t="shared" si="0"/>
        <v>60</v>
      </c>
      <c r="N16" s="61">
        <v>100</v>
      </c>
      <c r="O16" s="69" t="s">
        <v>223</v>
      </c>
      <c r="P16" s="70">
        <v>2.7000000000000001E-3</v>
      </c>
      <c r="Q16" s="70">
        <f t="shared" si="2"/>
        <v>0.27</v>
      </c>
      <c r="R16" s="67"/>
      <c r="S16" s="70"/>
    </row>
    <row r="17" spans="1:19" s="64" customFormat="1" ht="96.75" thickBot="1" x14ac:dyDescent="0.3">
      <c r="A17" s="63"/>
      <c r="B17" s="37">
        <f>ROW(B17) - ROW($B$9)</f>
        <v>8</v>
      </c>
      <c r="C17" s="53" t="s">
        <v>7</v>
      </c>
      <c r="D17" s="71" t="s">
        <v>286</v>
      </c>
      <c r="E17" s="67" t="s">
        <v>63</v>
      </c>
      <c r="F17" s="61" t="s">
        <v>97</v>
      </c>
      <c r="G17" s="67" t="s">
        <v>135</v>
      </c>
      <c r="H17" s="61" t="s">
        <v>152</v>
      </c>
      <c r="I17" s="61" t="s">
        <v>225</v>
      </c>
      <c r="J17" s="61" t="s">
        <v>175</v>
      </c>
      <c r="K17" s="68" t="s">
        <v>186</v>
      </c>
      <c r="L17" s="61">
        <v>48</v>
      </c>
      <c r="M17" s="61">
        <f t="shared" si="0"/>
        <v>480</v>
      </c>
      <c r="N17" s="61">
        <v>500</v>
      </c>
      <c r="O17" s="69" t="s">
        <v>223</v>
      </c>
      <c r="P17" s="70">
        <v>1.1999999999999999E-3</v>
      </c>
      <c r="Q17" s="70">
        <f>P17*N17</f>
        <v>0.6</v>
      </c>
      <c r="R17" s="67"/>
      <c r="S17" s="70"/>
    </row>
    <row r="18" spans="1:19" s="64" customFormat="1" ht="24.75" thickBot="1" x14ac:dyDescent="0.3">
      <c r="A18" s="63"/>
      <c r="B18" s="37">
        <f>ROW(B18) - ROW($B$9)</f>
        <v>9</v>
      </c>
      <c r="C18" s="53" t="s">
        <v>7</v>
      </c>
      <c r="D18" s="100" t="s">
        <v>277</v>
      </c>
      <c r="E18" s="67" t="s">
        <v>58</v>
      </c>
      <c r="F18" s="61" t="s">
        <v>93</v>
      </c>
      <c r="G18" s="61" t="s">
        <v>264</v>
      </c>
      <c r="H18" s="61" t="s">
        <v>156</v>
      </c>
      <c r="I18" s="61" t="s">
        <v>225</v>
      </c>
      <c r="J18" s="61" t="s">
        <v>265</v>
      </c>
      <c r="K18" s="68" t="s">
        <v>189</v>
      </c>
      <c r="L18" s="61">
        <v>11</v>
      </c>
      <c r="M18" s="61">
        <f t="shared" si="0"/>
        <v>110</v>
      </c>
      <c r="N18" s="61">
        <v>120</v>
      </c>
      <c r="O18" s="69" t="s">
        <v>223</v>
      </c>
      <c r="P18" s="70">
        <v>3.6299999999999999E-2</v>
      </c>
      <c r="Q18" s="70">
        <f>P18*N18</f>
        <v>4.3559999999999999</v>
      </c>
      <c r="R18" s="67"/>
      <c r="S18" s="70"/>
    </row>
    <row r="19" spans="1:19" s="64" customFormat="1" ht="15.75" thickBot="1" x14ac:dyDescent="0.3">
      <c r="A19" s="63"/>
      <c r="B19" s="37">
        <f>ROW(B19) - ROW($B$9)</f>
        <v>10</v>
      </c>
      <c r="C19" s="53" t="s">
        <v>7</v>
      </c>
      <c r="D19" s="100" t="s">
        <v>19</v>
      </c>
      <c r="E19" s="61" t="s">
        <v>59</v>
      </c>
      <c r="F19" s="61" t="s">
        <v>93</v>
      </c>
      <c r="G19" s="67" t="s">
        <v>130</v>
      </c>
      <c r="H19" s="61" t="s">
        <v>152</v>
      </c>
      <c r="I19" s="61" t="s">
        <v>225</v>
      </c>
      <c r="J19" s="61" t="s">
        <v>172</v>
      </c>
      <c r="K19" s="68" t="s">
        <v>190</v>
      </c>
      <c r="L19" s="101">
        <v>4</v>
      </c>
      <c r="M19" s="61">
        <f t="shared" si="0"/>
        <v>40</v>
      </c>
      <c r="N19" s="61">
        <v>100</v>
      </c>
      <c r="O19" s="69" t="s">
        <v>223</v>
      </c>
      <c r="P19" s="70">
        <v>2.5000000000000001E-3</v>
      </c>
      <c r="Q19" s="70">
        <f t="shared" si="2"/>
        <v>0.25</v>
      </c>
      <c r="R19" s="67"/>
      <c r="S19" s="70"/>
    </row>
    <row r="20" spans="1:19" s="64" customFormat="1" ht="15.75" thickBot="1" x14ac:dyDescent="0.3">
      <c r="A20" s="63"/>
      <c r="B20" s="37">
        <f t="shared" si="1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1">
        <f t="shared" si="0"/>
        <v>10</v>
      </c>
      <c r="N20" s="61">
        <v>100</v>
      </c>
      <c r="O20" s="69" t="s">
        <v>223</v>
      </c>
      <c r="P20" s="70">
        <v>2.8E-3</v>
      </c>
      <c r="Q20" s="70">
        <f t="shared" si="2"/>
        <v>0.27999999999999997</v>
      </c>
      <c r="R20" s="67"/>
      <c r="S20" s="70"/>
    </row>
    <row r="21" spans="1:19" s="64" customFormat="1" ht="24.75" thickBot="1" x14ac:dyDescent="0.3">
      <c r="A21" s="63"/>
      <c r="B21" s="37">
        <f>ROW(B21) - ROW($B$9)</f>
        <v>12</v>
      </c>
      <c r="C21" s="53" t="s">
        <v>7</v>
      </c>
      <c r="D21" s="100" t="s">
        <v>21</v>
      </c>
      <c r="E21" s="61" t="s">
        <v>62</v>
      </c>
      <c r="F21" s="61" t="s">
        <v>93</v>
      </c>
      <c r="G21" s="67" t="s">
        <v>133</v>
      </c>
      <c r="H21" s="61" t="s">
        <v>152</v>
      </c>
      <c r="I21" s="61" t="s">
        <v>225</v>
      </c>
      <c r="J21" s="61" t="s">
        <v>174</v>
      </c>
      <c r="K21" s="68" t="s">
        <v>192</v>
      </c>
      <c r="L21" s="101">
        <v>8</v>
      </c>
      <c r="M21" s="61">
        <f t="shared" si="0"/>
        <v>80</v>
      </c>
      <c r="N21" s="61">
        <v>100</v>
      </c>
      <c r="O21" s="69" t="s">
        <v>223</v>
      </c>
      <c r="P21" s="70">
        <v>2.7000000000000001E-3</v>
      </c>
      <c r="Q21" s="70">
        <f t="shared" si="2"/>
        <v>0.27</v>
      </c>
      <c r="R21" s="67"/>
      <c r="S21" s="70"/>
    </row>
    <row r="22" spans="1:19" s="64" customFormat="1" ht="24.75" thickBot="1" x14ac:dyDescent="0.3">
      <c r="A22" s="63"/>
      <c r="B22" s="37">
        <f t="shared" si="1"/>
        <v>13</v>
      </c>
      <c r="C22" s="53" t="s">
        <v>201</v>
      </c>
      <c r="D22" s="100" t="s">
        <v>24</v>
      </c>
      <c r="E22" s="61" t="s">
        <v>65</v>
      </c>
      <c r="F22" s="61" t="s">
        <v>224</v>
      </c>
      <c r="G22" s="67" t="s">
        <v>99</v>
      </c>
      <c r="H22" s="61" t="s">
        <v>157</v>
      </c>
      <c r="I22" s="61" t="s">
        <v>225</v>
      </c>
      <c r="J22" s="61" t="s">
        <v>226</v>
      </c>
      <c r="K22" s="68" t="s">
        <v>225</v>
      </c>
      <c r="L22" s="101">
        <v>1</v>
      </c>
      <c r="M22" s="61">
        <f t="shared" si="0"/>
        <v>10</v>
      </c>
      <c r="N22" s="61">
        <v>20</v>
      </c>
      <c r="O22" s="69" t="s">
        <v>223</v>
      </c>
      <c r="P22" s="70">
        <v>3.9800000000000002E-2</v>
      </c>
      <c r="Q22" s="70">
        <f t="shared" si="2"/>
        <v>0.79600000000000004</v>
      </c>
      <c r="R22" s="67"/>
      <c r="S22" s="70"/>
    </row>
    <row r="23" spans="1:19" s="64" customFormat="1" ht="15.75" thickBot="1" x14ac:dyDescent="0.3">
      <c r="A23" s="63"/>
      <c r="B23" s="37">
        <f>ROW(B23) - ROW($B$9)</f>
        <v>14</v>
      </c>
      <c r="C23" s="53" t="s">
        <v>201</v>
      </c>
      <c r="D23" s="71" t="s">
        <v>25</v>
      </c>
      <c r="E23" s="67" t="s">
        <v>66</v>
      </c>
      <c r="F23" s="61" t="s">
        <v>100</v>
      </c>
      <c r="G23" s="67" t="s">
        <v>137</v>
      </c>
      <c r="H23" s="61" t="s">
        <v>158</v>
      </c>
      <c r="I23" s="61" t="s">
        <v>225</v>
      </c>
      <c r="J23" s="61" t="s">
        <v>227</v>
      </c>
      <c r="K23" s="68" t="s">
        <v>225</v>
      </c>
      <c r="L23" s="61">
        <v>1</v>
      </c>
      <c r="M23" s="61">
        <f t="shared" si="0"/>
        <v>10</v>
      </c>
      <c r="N23" s="61">
        <v>20</v>
      </c>
      <c r="O23" s="69" t="s">
        <v>223</v>
      </c>
      <c r="P23" s="70">
        <v>3.6900000000000002E-2</v>
      </c>
      <c r="Q23" s="70">
        <f t="shared" si="2"/>
        <v>0.73799999999999999</v>
      </c>
      <c r="R23" s="67"/>
      <c r="S23" s="70"/>
    </row>
    <row r="24" spans="1:19" s="64" customFormat="1" ht="15.75" thickBot="1" x14ac:dyDescent="0.3">
      <c r="A24" s="63"/>
      <c r="B24" s="37">
        <v>15</v>
      </c>
      <c r="C24" s="53" t="s">
        <v>287</v>
      </c>
      <c r="D24" s="99" t="s">
        <v>288</v>
      </c>
      <c r="E24" s="99" t="s">
        <v>289</v>
      </c>
      <c r="F24" s="99" t="s">
        <v>290</v>
      </c>
      <c r="G24" s="99" t="s">
        <v>291</v>
      </c>
      <c r="H24" s="99" t="s">
        <v>292</v>
      </c>
      <c r="I24" s="99" t="s">
        <v>225</v>
      </c>
      <c r="J24" s="99" t="s">
        <v>293</v>
      </c>
      <c r="K24" s="99" t="s">
        <v>225</v>
      </c>
      <c r="L24" s="99">
        <v>2</v>
      </c>
      <c r="M24" s="61">
        <f t="shared" si="0"/>
        <v>20</v>
      </c>
      <c r="N24" s="61">
        <v>40</v>
      </c>
      <c r="O24" s="69" t="s">
        <v>223</v>
      </c>
      <c r="P24" s="70">
        <v>3.2199999999999999E-2</v>
      </c>
      <c r="Q24" s="70">
        <f>P24*N24</f>
        <v>1.288</v>
      </c>
      <c r="R24" s="67"/>
      <c r="S24" s="70"/>
    </row>
    <row r="25" spans="1:19" s="64" customFormat="1" ht="15.75" thickBot="1" x14ac:dyDescent="0.3">
      <c r="A25" s="63"/>
      <c r="B25" s="37">
        <f t="shared" si="1"/>
        <v>16</v>
      </c>
      <c r="C25" s="53" t="s">
        <v>202</v>
      </c>
      <c r="D25" s="100" t="s">
        <v>26</v>
      </c>
      <c r="E25" s="61" t="s">
        <v>67</v>
      </c>
      <c r="F25" s="61" t="s">
        <v>101</v>
      </c>
      <c r="G25" s="74" t="s">
        <v>138</v>
      </c>
      <c r="H25" s="61" t="s">
        <v>159</v>
      </c>
      <c r="I25" s="61" t="s">
        <v>228</v>
      </c>
      <c r="J25" s="61" t="s">
        <v>229</v>
      </c>
      <c r="K25" s="68" t="s">
        <v>225</v>
      </c>
      <c r="L25" s="101">
        <v>1</v>
      </c>
      <c r="M25" s="61">
        <f t="shared" si="0"/>
        <v>10</v>
      </c>
      <c r="N25" s="61">
        <v>20</v>
      </c>
      <c r="O25" s="69" t="s">
        <v>223</v>
      </c>
      <c r="P25" s="70">
        <v>2.8000000000000001E-2</v>
      </c>
      <c r="Q25" s="70">
        <f t="shared" si="2"/>
        <v>0.56000000000000005</v>
      </c>
      <c r="R25" s="67"/>
      <c r="S25" s="70"/>
    </row>
    <row r="26" spans="1:19" s="64" customFormat="1" ht="24.75" thickBot="1" x14ac:dyDescent="0.3">
      <c r="A26" s="63"/>
      <c r="B26" s="37">
        <f>ROW(B26) - ROW($B$9)</f>
        <v>17</v>
      </c>
      <c r="C26" s="53" t="s">
        <v>8</v>
      </c>
      <c r="D26" s="71" t="s">
        <v>27</v>
      </c>
      <c r="E26" s="67" t="s">
        <v>68</v>
      </c>
      <c r="F26" s="61" t="s">
        <v>230</v>
      </c>
      <c r="G26" s="67" t="s">
        <v>102</v>
      </c>
      <c r="H26" s="61" t="s">
        <v>160</v>
      </c>
      <c r="I26" s="61" t="s">
        <v>225</v>
      </c>
      <c r="J26" s="61" t="s">
        <v>176</v>
      </c>
      <c r="K26" s="68" t="s">
        <v>225</v>
      </c>
      <c r="L26" s="61">
        <v>1</v>
      </c>
      <c r="M26" s="61">
        <f t="shared" si="0"/>
        <v>10</v>
      </c>
      <c r="N26" s="61">
        <v>20</v>
      </c>
      <c r="O26" s="69" t="s">
        <v>223</v>
      </c>
      <c r="P26" s="70">
        <v>5.5599999999999997E-2</v>
      </c>
      <c r="Q26" s="70">
        <f t="shared" si="2"/>
        <v>1.1119999999999999</v>
      </c>
      <c r="R26" s="67"/>
      <c r="S26" s="70"/>
    </row>
    <row r="27" spans="1:19" s="64" customFormat="1" ht="24.75" thickBot="1" x14ac:dyDescent="0.3">
      <c r="A27" s="63"/>
      <c r="B27" s="37">
        <f t="shared" si="1"/>
        <v>18</v>
      </c>
      <c r="C27" s="53" t="s">
        <v>9</v>
      </c>
      <c r="D27" s="100" t="s">
        <v>28</v>
      </c>
      <c r="E27" s="61" t="s">
        <v>69</v>
      </c>
      <c r="F27" s="61" t="s">
        <v>230</v>
      </c>
      <c r="G27" s="67" t="s">
        <v>103</v>
      </c>
      <c r="H27" s="61" t="s">
        <v>161</v>
      </c>
      <c r="I27" s="61" t="s">
        <v>225</v>
      </c>
      <c r="J27" s="61" t="s">
        <v>225</v>
      </c>
      <c r="K27" s="68" t="s">
        <v>225</v>
      </c>
      <c r="L27" s="101">
        <v>8</v>
      </c>
      <c r="M27" s="61">
        <f t="shared" si="0"/>
        <v>80</v>
      </c>
      <c r="N27" s="61">
        <v>85</v>
      </c>
      <c r="O27" s="69" t="s">
        <v>276</v>
      </c>
      <c r="P27" s="70">
        <v>0.84699999999999998</v>
      </c>
      <c r="Q27" s="70">
        <f t="shared" si="2"/>
        <v>71.995000000000005</v>
      </c>
      <c r="R27" s="95"/>
      <c r="S27" s="70"/>
    </row>
    <row r="28" spans="1:19" s="64" customFormat="1" ht="30.75" thickBot="1" x14ac:dyDescent="0.3">
      <c r="A28" s="63"/>
      <c r="B28" s="37">
        <f>ROW(B28) - ROW($B$9)</f>
        <v>19</v>
      </c>
      <c r="C28" s="53" t="s">
        <v>9</v>
      </c>
      <c r="D28" s="71" t="s">
        <v>29</v>
      </c>
      <c r="E28" s="67" t="s">
        <v>70</v>
      </c>
      <c r="F28" s="61" t="s">
        <v>230</v>
      </c>
      <c r="G28" s="67" t="s">
        <v>104</v>
      </c>
      <c r="H28" s="61" t="s">
        <v>161</v>
      </c>
      <c r="I28" s="61" t="s">
        <v>225</v>
      </c>
      <c r="J28" s="61" t="s">
        <v>225</v>
      </c>
      <c r="K28" s="68" t="s">
        <v>225</v>
      </c>
      <c r="L28" s="61">
        <v>4</v>
      </c>
      <c r="M28" s="61">
        <f t="shared" si="0"/>
        <v>40</v>
      </c>
      <c r="N28" s="61">
        <v>45</v>
      </c>
      <c r="O28" s="69" t="s">
        <v>231</v>
      </c>
      <c r="P28" s="70">
        <v>2</v>
      </c>
      <c r="Q28" s="70">
        <f t="shared" si="2"/>
        <v>90</v>
      </c>
      <c r="R28" s="95" t="s">
        <v>269</v>
      </c>
      <c r="S28" s="70"/>
    </row>
    <row r="29" spans="1:19" s="64" customFormat="1" ht="15.75" thickBot="1" x14ac:dyDescent="0.3">
      <c r="A29" s="63"/>
      <c r="B29" s="37">
        <f t="shared" si="1"/>
        <v>20</v>
      </c>
      <c r="C29" s="53" t="s">
        <v>202</v>
      </c>
      <c r="D29" s="100" t="s">
        <v>30</v>
      </c>
      <c r="E29" s="61" t="s">
        <v>71</v>
      </c>
      <c r="F29" s="61" t="s">
        <v>105</v>
      </c>
      <c r="G29" s="74">
        <v>61300611121</v>
      </c>
      <c r="H29" s="61" t="s">
        <v>162</v>
      </c>
      <c r="I29" s="61" t="s">
        <v>283</v>
      </c>
      <c r="J29" s="61" t="s">
        <v>282</v>
      </c>
      <c r="K29" s="68" t="s">
        <v>225</v>
      </c>
      <c r="L29" s="101">
        <v>1</v>
      </c>
      <c r="M29" s="61">
        <f t="shared" si="0"/>
        <v>10</v>
      </c>
      <c r="N29" s="61">
        <v>20</v>
      </c>
      <c r="O29" s="69" t="s">
        <v>223</v>
      </c>
      <c r="P29" s="70">
        <v>3.3000000000000002E-2</v>
      </c>
      <c r="Q29" s="70">
        <f t="shared" si="2"/>
        <v>0.66</v>
      </c>
      <c r="R29" s="67"/>
      <c r="S29" s="70"/>
    </row>
    <row r="30" spans="1:19" s="64" customFormat="1" ht="15.75" thickBot="1" x14ac:dyDescent="0.3">
      <c r="A30" s="63"/>
      <c r="B30" s="37">
        <f>ROW(B30) - ROW($B$9)</f>
        <v>21</v>
      </c>
      <c r="C30" s="53" t="s">
        <v>203</v>
      </c>
      <c r="D30" s="90" t="s">
        <v>31</v>
      </c>
      <c r="E30" s="74" t="s">
        <v>72</v>
      </c>
      <c r="F30" s="91" t="s">
        <v>230</v>
      </c>
      <c r="G30" s="74" t="s">
        <v>106</v>
      </c>
      <c r="H30" s="91" t="s">
        <v>225</v>
      </c>
      <c r="I30" s="91" t="s">
        <v>225</v>
      </c>
      <c r="J30" s="91" t="s">
        <v>225</v>
      </c>
      <c r="K30" s="92" t="s">
        <v>225</v>
      </c>
      <c r="L30" s="91">
        <v>5</v>
      </c>
      <c r="M30" s="61">
        <f t="shared" si="0"/>
        <v>50</v>
      </c>
      <c r="N30" s="91" t="s">
        <v>225</v>
      </c>
      <c r="O30" s="93" t="s">
        <v>225</v>
      </c>
      <c r="P30" s="94" t="s">
        <v>225</v>
      </c>
      <c r="Q30" s="94" t="s">
        <v>225</v>
      </c>
      <c r="R30" s="74"/>
      <c r="S30" s="94"/>
    </row>
    <row r="31" spans="1:19" s="64" customFormat="1" ht="15.75" thickBot="1" x14ac:dyDescent="0.3">
      <c r="A31" s="63"/>
      <c r="B31" s="37">
        <f t="shared" si="1"/>
        <v>22</v>
      </c>
      <c r="C31" s="53" t="s">
        <v>204</v>
      </c>
      <c r="D31" s="100" t="s">
        <v>32</v>
      </c>
      <c r="E31" s="61" t="s">
        <v>73</v>
      </c>
      <c r="F31" s="61" t="s">
        <v>107</v>
      </c>
      <c r="G31" s="74" t="s">
        <v>139</v>
      </c>
      <c r="H31" s="61" t="s">
        <v>159</v>
      </c>
      <c r="I31" s="61" t="s">
        <v>284</v>
      </c>
      <c r="J31" s="61" t="s">
        <v>239</v>
      </c>
      <c r="K31" s="68" t="s">
        <v>193</v>
      </c>
      <c r="L31" s="101">
        <v>3</v>
      </c>
      <c r="M31" s="61">
        <f t="shared" si="0"/>
        <v>30</v>
      </c>
      <c r="N31" s="61">
        <v>100</v>
      </c>
      <c r="O31" s="69" t="s">
        <v>223</v>
      </c>
      <c r="P31" s="70">
        <v>6.9999999999999999E-4</v>
      </c>
      <c r="Q31" s="70">
        <f t="shared" si="2"/>
        <v>6.9999999999999993E-2</v>
      </c>
      <c r="R31" s="67"/>
      <c r="S31" s="70"/>
    </row>
    <row r="32" spans="1:19" s="64" customFormat="1" ht="15.75" thickBot="1" x14ac:dyDescent="0.3">
      <c r="A32" s="63"/>
      <c r="B32" s="37">
        <f>ROW(B32) - ROW($B$9)</f>
        <v>23</v>
      </c>
      <c r="C32" s="53" t="s">
        <v>204</v>
      </c>
      <c r="D32" s="71" t="s">
        <v>33</v>
      </c>
      <c r="E32" s="67" t="s">
        <v>74</v>
      </c>
      <c r="F32" s="61" t="s">
        <v>108</v>
      </c>
      <c r="G32" s="67" t="s">
        <v>140</v>
      </c>
      <c r="H32" s="61" t="s">
        <v>152</v>
      </c>
      <c r="I32" s="61" t="s">
        <v>225</v>
      </c>
      <c r="J32" s="61" t="s">
        <v>250</v>
      </c>
      <c r="K32" s="68" t="s">
        <v>194</v>
      </c>
      <c r="L32" s="61">
        <v>8</v>
      </c>
      <c r="M32" s="61">
        <f t="shared" si="0"/>
        <v>80</v>
      </c>
      <c r="N32" s="61">
        <v>100</v>
      </c>
      <c r="O32" s="69" t="s">
        <v>223</v>
      </c>
      <c r="P32" s="70">
        <v>1.1000000000000001E-3</v>
      </c>
      <c r="Q32" s="70">
        <f t="shared" si="2"/>
        <v>0.11</v>
      </c>
      <c r="R32" s="67"/>
      <c r="S32" s="70"/>
    </row>
    <row r="33" spans="1:19" s="64" customFormat="1" ht="15.75" thickBot="1" x14ac:dyDescent="0.3">
      <c r="A33" s="63"/>
      <c r="B33" s="37">
        <f t="shared" si="1"/>
        <v>24</v>
      </c>
      <c r="C33" s="53" t="s">
        <v>204</v>
      </c>
      <c r="D33" s="100" t="s">
        <v>34</v>
      </c>
      <c r="E33" s="61" t="s">
        <v>75</v>
      </c>
      <c r="F33" s="61" t="s">
        <v>107</v>
      </c>
      <c r="G33" s="67" t="s">
        <v>141</v>
      </c>
      <c r="H33" s="61" t="s">
        <v>152</v>
      </c>
      <c r="I33" s="61" t="s">
        <v>225</v>
      </c>
      <c r="J33" s="61" t="s">
        <v>242</v>
      </c>
      <c r="K33" s="68" t="s">
        <v>195</v>
      </c>
      <c r="L33" s="101">
        <v>3</v>
      </c>
      <c r="M33" s="61">
        <f t="shared" si="0"/>
        <v>30</v>
      </c>
      <c r="N33" s="61">
        <v>100</v>
      </c>
      <c r="O33" s="69" t="s">
        <v>223</v>
      </c>
      <c r="P33" s="70">
        <v>1.1999999999999999E-3</v>
      </c>
      <c r="Q33" s="70">
        <f t="shared" si="2"/>
        <v>0.12</v>
      </c>
      <c r="R33" s="67"/>
      <c r="S33" s="70"/>
    </row>
    <row r="34" spans="1:19" s="64" customFormat="1" ht="24.75" thickBot="1" x14ac:dyDescent="0.3">
      <c r="A34" s="63"/>
      <c r="B34" s="37">
        <f>ROW(B34) - ROW($B$9)</f>
        <v>25</v>
      </c>
      <c r="C34" s="53" t="s">
        <v>204</v>
      </c>
      <c r="D34" s="71" t="s">
        <v>35</v>
      </c>
      <c r="E34" s="67" t="s">
        <v>76</v>
      </c>
      <c r="F34" s="61" t="s">
        <v>108</v>
      </c>
      <c r="G34" s="67" t="s">
        <v>142</v>
      </c>
      <c r="H34" s="61" t="s">
        <v>152</v>
      </c>
      <c r="I34" s="61" t="s">
        <v>225</v>
      </c>
      <c r="J34" s="61" t="s">
        <v>177</v>
      </c>
      <c r="K34" s="68" t="s">
        <v>196</v>
      </c>
      <c r="L34" s="61">
        <v>10</v>
      </c>
      <c r="M34" s="61">
        <f t="shared" si="0"/>
        <v>100</v>
      </c>
      <c r="N34" s="61">
        <v>200</v>
      </c>
      <c r="O34" s="69" t="s">
        <v>223</v>
      </c>
      <c r="P34" s="70">
        <v>1.1000000000000001E-3</v>
      </c>
      <c r="Q34" s="70">
        <f t="shared" si="2"/>
        <v>0.22</v>
      </c>
      <c r="R34" s="67"/>
      <c r="S34" s="70"/>
    </row>
    <row r="35" spans="1:19" s="64" customFormat="1" ht="15.75" thickBot="1" x14ac:dyDescent="0.3">
      <c r="A35" s="63"/>
      <c r="B35" s="37">
        <f t="shared" si="1"/>
        <v>26</v>
      </c>
      <c r="C35" s="53" t="s">
        <v>204</v>
      </c>
      <c r="D35" s="100" t="s">
        <v>36</v>
      </c>
      <c r="E35" s="61" t="s">
        <v>77</v>
      </c>
      <c r="F35" s="61" t="s">
        <v>107</v>
      </c>
      <c r="G35" s="67" t="s">
        <v>143</v>
      </c>
      <c r="H35" s="61" t="s">
        <v>152</v>
      </c>
      <c r="I35" s="61" t="s">
        <v>225</v>
      </c>
      <c r="J35" s="61" t="s">
        <v>243</v>
      </c>
      <c r="K35" s="68" t="s">
        <v>197</v>
      </c>
      <c r="L35" s="101">
        <v>2</v>
      </c>
      <c r="M35" s="61">
        <f t="shared" si="0"/>
        <v>20</v>
      </c>
      <c r="N35" s="61">
        <v>100</v>
      </c>
      <c r="O35" s="69" t="s">
        <v>223</v>
      </c>
      <c r="P35" s="70">
        <v>1.1000000000000001E-3</v>
      </c>
      <c r="Q35" s="70">
        <f t="shared" si="2"/>
        <v>0.11</v>
      </c>
      <c r="R35" s="67"/>
      <c r="S35" s="70"/>
    </row>
    <row r="36" spans="1:19" s="64" customFormat="1" ht="36.75" thickBot="1" x14ac:dyDescent="0.3">
      <c r="A36" s="63"/>
      <c r="B36" s="37">
        <f>ROW(B36) - ROW($B$9)</f>
        <v>27</v>
      </c>
      <c r="C36" s="53" t="s">
        <v>204</v>
      </c>
      <c r="D36" s="71" t="s">
        <v>259</v>
      </c>
      <c r="E36" s="67" t="s">
        <v>78</v>
      </c>
      <c r="F36" s="61" t="s">
        <v>109</v>
      </c>
      <c r="G36" s="67" t="s">
        <v>144</v>
      </c>
      <c r="H36" s="61" t="s">
        <v>152</v>
      </c>
      <c r="I36" s="61" t="s">
        <v>225</v>
      </c>
      <c r="J36" s="61" t="s">
        <v>178</v>
      </c>
      <c r="K36" s="68" t="s">
        <v>198</v>
      </c>
      <c r="L36" s="61">
        <v>17</v>
      </c>
      <c r="M36" s="61">
        <f t="shared" si="0"/>
        <v>170</v>
      </c>
      <c r="N36" s="61">
        <v>200</v>
      </c>
      <c r="O36" s="69" t="s">
        <v>223</v>
      </c>
      <c r="P36" s="70">
        <v>5.9999999999999995E-4</v>
      </c>
      <c r="Q36" s="70">
        <f t="shared" si="2"/>
        <v>0.12</v>
      </c>
      <c r="R36" s="67"/>
      <c r="S36" s="70"/>
    </row>
    <row r="37" spans="1:19" s="64" customFormat="1" ht="15.75" thickBot="1" x14ac:dyDescent="0.3">
      <c r="A37" s="63"/>
      <c r="B37" s="37">
        <f>ROW(B37) - ROW($B$9)</f>
        <v>28</v>
      </c>
      <c r="C37" s="53" t="s">
        <v>204</v>
      </c>
      <c r="D37" s="100" t="s">
        <v>37</v>
      </c>
      <c r="E37" s="61" t="s">
        <v>79</v>
      </c>
      <c r="F37" s="61" t="s">
        <v>108</v>
      </c>
      <c r="G37" s="67" t="s">
        <v>145</v>
      </c>
      <c r="H37" s="61" t="s">
        <v>152</v>
      </c>
      <c r="I37" s="61" t="s">
        <v>225</v>
      </c>
      <c r="J37" s="61" t="s">
        <v>251</v>
      </c>
      <c r="K37" s="68" t="s">
        <v>199</v>
      </c>
      <c r="L37" s="101">
        <v>4</v>
      </c>
      <c r="M37" s="61">
        <f t="shared" si="0"/>
        <v>40</v>
      </c>
      <c r="N37" s="61">
        <v>100</v>
      </c>
      <c r="O37" s="69" t="s">
        <v>223</v>
      </c>
      <c r="P37" s="70">
        <v>1.2999999999999999E-3</v>
      </c>
      <c r="Q37" s="70">
        <f t="shared" si="2"/>
        <v>0.13</v>
      </c>
      <c r="R37" s="67"/>
      <c r="S37" s="70"/>
    </row>
    <row r="38" spans="1:19" s="64" customFormat="1" ht="216.75" thickBot="1" x14ac:dyDescent="0.3">
      <c r="A38" s="63"/>
      <c r="B38" s="37">
        <f t="shared" si="1"/>
        <v>29</v>
      </c>
      <c r="C38" s="53" t="s">
        <v>205</v>
      </c>
      <c r="D38" s="90" t="s">
        <v>38</v>
      </c>
      <c r="E38" s="74" t="s">
        <v>80</v>
      </c>
      <c r="F38" s="91" t="s">
        <v>230</v>
      </c>
      <c r="G38" s="74" t="s">
        <v>110</v>
      </c>
      <c r="H38" s="91" t="s">
        <v>225</v>
      </c>
      <c r="I38" s="91" t="s">
        <v>225</v>
      </c>
      <c r="J38" s="91" t="s">
        <v>225</v>
      </c>
      <c r="K38" s="92" t="s">
        <v>225</v>
      </c>
      <c r="L38" s="91">
        <v>106</v>
      </c>
      <c r="M38" s="91">
        <f t="shared" si="0"/>
        <v>1060</v>
      </c>
      <c r="N38" s="91" t="s">
        <v>225</v>
      </c>
      <c r="O38" s="93" t="s">
        <v>225</v>
      </c>
      <c r="P38" s="94" t="s">
        <v>225</v>
      </c>
      <c r="Q38" s="94" t="s">
        <v>225</v>
      </c>
      <c r="R38" s="74"/>
      <c r="S38" s="94"/>
    </row>
    <row r="39" spans="1:19" s="64" customFormat="1" ht="24.75" thickBot="1" x14ac:dyDescent="0.3">
      <c r="A39" s="63"/>
      <c r="B39" s="37">
        <f>ROW(B39) - ROW($B$9)</f>
        <v>30</v>
      </c>
      <c r="C39" s="53" t="s">
        <v>206</v>
      </c>
      <c r="D39" s="100" t="s">
        <v>39</v>
      </c>
      <c r="E39" s="61" t="s">
        <v>81</v>
      </c>
      <c r="F39" s="61" t="s">
        <v>230</v>
      </c>
      <c r="G39" s="67" t="s">
        <v>111</v>
      </c>
      <c r="H39" s="61" t="s">
        <v>160</v>
      </c>
      <c r="I39" s="61" t="s">
        <v>225</v>
      </c>
      <c r="J39" s="61" t="s">
        <v>275</v>
      </c>
      <c r="K39" s="68" t="s">
        <v>225</v>
      </c>
      <c r="L39" s="101">
        <v>1</v>
      </c>
      <c r="M39" s="61">
        <f t="shared" si="0"/>
        <v>10</v>
      </c>
      <c r="N39" s="61">
        <v>20</v>
      </c>
      <c r="O39" s="69" t="s">
        <v>223</v>
      </c>
      <c r="P39" s="70">
        <v>5.6300000000000003E-2</v>
      </c>
      <c r="Q39" s="70">
        <f t="shared" si="2"/>
        <v>1.1260000000000001</v>
      </c>
      <c r="R39" s="95"/>
      <c r="S39" s="70"/>
    </row>
    <row r="40" spans="1:19" s="64" customFormat="1" ht="15.75" thickBot="1" x14ac:dyDescent="0.3">
      <c r="A40" s="63"/>
      <c r="B40" s="37">
        <f t="shared" si="1"/>
        <v>31</v>
      </c>
      <c r="C40" s="53" t="s">
        <v>10</v>
      </c>
      <c r="D40" s="71" t="s">
        <v>40</v>
      </c>
      <c r="E40" s="67" t="s">
        <v>82</v>
      </c>
      <c r="F40" s="61" t="s">
        <v>230</v>
      </c>
      <c r="G40" s="67" t="s">
        <v>112</v>
      </c>
      <c r="H40" s="61" t="s">
        <v>163</v>
      </c>
      <c r="I40" s="61" t="s">
        <v>225</v>
      </c>
      <c r="J40" s="61" t="s">
        <v>179</v>
      </c>
      <c r="K40" s="68" t="s">
        <v>225</v>
      </c>
      <c r="L40" s="61">
        <v>1</v>
      </c>
      <c r="M40" s="61">
        <f t="shared" si="0"/>
        <v>10</v>
      </c>
      <c r="N40" s="61">
        <v>11</v>
      </c>
      <c r="O40" s="69" t="s">
        <v>223</v>
      </c>
      <c r="P40" s="70">
        <v>4.1506999999999996</v>
      </c>
      <c r="Q40" s="70">
        <f t="shared" si="2"/>
        <v>45.657699999999998</v>
      </c>
      <c r="R40" s="67"/>
      <c r="S40" s="70"/>
    </row>
    <row r="41" spans="1:19" s="64" customFormat="1" ht="15.75" thickBot="1" x14ac:dyDescent="0.3">
      <c r="A41" s="63"/>
      <c r="B41" s="37">
        <f>ROW(B41) - ROW($B$9)</f>
        <v>32</v>
      </c>
      <c r="C41" s="53" t="s">
        <v>11</v>
      </c>
      <c r="D41" s="100" t="s">
        <v>41</v>
      </c>
      <c r="E41" s="61" t="s">
        <v>83</v>
      </c>
      <c r="F41" s="61" t="s">
        <v>113</v>
      </c>
      <c r="G41" s="67" t="s">
        <v>146</v>
      </c>
      <c r="H41" s="61" t="s">
        <v>158</v>
      </c>
      <c r="I41" s="61" t="s">
        <v>225</v>
      </c>
      <c r="J41" s="61" t="s">
        <v>180</v>
      </c>
      <c r="K41" s="68" t="s">
        <v>225</v>
      </c>
      <c r="L41" s="101">
        <v>8</v>
      </c>
      <c r="M41" s="61">
        <f t="shared" si="0"/>
        <v>80</v>
      </c>
      <c r="N41" s="61">
        <v>81</v>
      </c>
      <c r="O41" s="69" t="s">
        <v>223</v>
      </c>
      <c r="P41" s="70">
        <v>4.2987000000000002</v>
      </c>
      <c r="Q41" s="70">
        <f t="shared" si="2"/>
        <v>348.19470000000001</v>
      </c>
      <c r="R41" s="67"/>
      <c r="S41" s="70"/>
    </row>
    <row r="42" spans="1:19" s="64" customFormat="1" ht="24.75" thickBot="1" x14ac:dyDescent="0.3">
      <c r="A42" s="63"/>
      <c r="B42" s="37">
        <f t="shared" si="1"/>
        <v>33</v>
      </c>
      <c r="C42" s="53" t="s">
        <v>11</v>
      </c>
      <c r="D42" s="71" t="s">
        <v>42</v>
      </c>
      <c r="E42" s="67" t="s">
        <v>84</v>
      </c>
      <c r="F42" s="61" t="s">
        <v>114</v>
      </c>
      <c r="G42" s="67" t="s">
        <v>147</v>
      </c>
      <c r="H42" s="61" t="s">
        <v>164</v>
      </c>
      <c r="I42" s="61" t="s">
        <v>225</v>
      </c>
      <c r="J42" s="61" t="s">
        <v>252</v>
      </c>
      <c r="K42" s="68" t="s">
        <v>225</v>
      </c>
      <c r="L42" s="61">
        <v>1</v>
      </c>
      <c r="M42" s="61">
        <f t="shared" si="0"/>
        <v>10</v>
      </c>
      <c r="N42" s="61">
        <v>11</v>
      </c>
      <c r="O42" s="69" t="s">
        <v>223</v>
      </c>
      <c r="P42" s="70">
        <v>0.35959999999999998</v>
      </c>
      <c r="Q42" s="70">
        <f t="shared" si="2"/>
        <v>3.9555999999999996</v>
      </c>
      <c r="R42" s="67"/>
      <c r="S42" s="70"/>
    </row>
    <row r="43" spans="1:19" s="64" customFormat="1" ht="30.75" thickBot="1" x14ac:dyDescent="0.3">
      <c r="A43" s="63"/>
      <c r="B43" s="37">
        <f>ROW(B43) - ROW($B$9)</f>
        <v>34</v>
      </c>
      <c r="C43" s="53" t="s">
        <v>11</v>
      </c>
      <c r="D43" s="100" t="s">
        <v>43</v>
      </c>
      <c r="E43" s="61" t="s">
        <v>85</v>
      </c>
      <c r="F43" s="61" t="s">
        <v>115</v>
      </c>
      <c r="G43" s="67" t="s">
        <v>148</v>
      </c>
      <c r="H43" s="61" t="s">
        <v>158</v>
      </c>
      <c r="I43" s="61" t="s">
        <v>225</v>
      </c>
      <c r="J43" s="61" t="s">
        <v>225</v>
      </c>
      <c r="K43" s="68" t="s">
        <v>225</v>
      </c>
      <c r="L43" s="101">
        <v>1</v>
      </c>
      <c r="M43" s="61">
        <f t="shared" si="0"/>
        <v>10</v>
      </c>
      <c r="N43" s="61">
        <v>11</v>
      </c>
      <c r="O43" s="69" t="s">
        <v>231</v>
      </c>
      <c r="P43" s="70">
        <v>12.6</v>
      </c>
      <c r="Q43" s="70">
        <f t="shared" si="2"/>
        <v>138.6</v>
      </c>
      <c r="R43" s="95" t="s">
        <v>269</v>
      </c>
      <c r="S43" s="70"/>
    </row>
    <row r="44" spans="1:19" s="64" customFormat="1" ht="15.75" thickBot="1" x14ac:dyDescent="0.3">
      <c r="A44" s="63"/>
      <c r="B44" s="37">
        <f t="shared" si="1"/>
        <v>35</v>
      </c>
      <c r="C44" s="53" t="s">
        <v>11</v>
      </c>
      <c r="D44" s="71" t="s">
        <v>44</v>
      </c>
      <c r="E44" s="67" t="s">
        <v>86</v>
      </c>
      <c r="F44" s="61" t="s">
        <v>240</v>
      </c>
      <c r="G44" s="67" t="s">
        <v>116</v>
      </c>
      <c r="H44" s="61" t="s">
        <v>158</v>
      </c>
      <c r="I44" s="61" t="s">
        <v>225</v>
      </c>
      <c r="J44" s="61" t="s">
        <v>233</v>
      </c>
      <c r="K44" s="68" t="s">
        <v>225</v>
      </c>
      <c r="L44" s="61">
        <v>2</v>
      </c>
      <c r="M44" s="61">
        <f t="shared" si="0"/>
        <v>20</v>
      </c>
      <c r="N44" s="61">
        <v>21</v>
      </c>
      <c r="O44" s="69" t="s">
        <v>223</v>
      </c>
      <c r="P44" s="70">
        <v>3.9996</v>
      </c>
      <c r="Q44" s="70">
        <f t="shared" si="2"/>
        <v>83.991600000000005</v>
      </c>
      <c r="R44" s="67"/>
      <c r="S44" s="70"/>
    </row>
    <row r="45" spans="1:19" s="64" customFormat="1" ht="24.75" thickBot="1" x14ac:dyDescent="0.3">
      <c r="A45" s="63"/>
      <c r="B45" s="37">
        <f>ROW(B45) - ROW($B$9)</f>
        <v>36</v>
      </c>
      <c r="C45" s="53" t="s">
        <v>11</v>
      </c>
      <c r="D45" s="100" t="s">
        <v>45</v>
      </c>
      <c r="E45" s="61" t="s">
        <v>87</v>
      </c>
      <c r="F45" s="61" t="s">
        <v>241</v>
      </c>
      <c r="G45" s="102" t="s">
        <v>117</v>
      </c>
      <c r="H45" s="61" t="s">
        <v>165</v>
      </c>
      <c r="I45" s="61" t="s">
        <v>225</v>
      </c>
      <c r="J45" s="61" t="s">
        <v>299</v>
      </c>
      <c r="K45" s="68" t="s">
        <v>225</v>
      </c>
      <c r="L45" s="101">
        <v>1</v>
      </c>
      <c r="M45" s="61">
        <f t="shared" si="0"/>
        <v>10</v>
      </c>
      <c r="N45" s="61">
        <v>20</v>
      </c>
      <c r="O45" s="69" t="s">
        <v>223</v>
      </c>
      <c r="P45" s="70">
        <v>4.8899999999999999E-2</v>
      </c>
      <c r="Q45" s="70">
        <f t="shared" si="2"/>
        <v>0.97799999999999998</v>
      </c>
      <c r="R45" s="67"/>
      <c r="S45" s="70"/>
    </row>
    <row r="46" spans="1:19" s="64" customFormat="1" ht="30.75" thickBot="1" x14ac:dyDescent="0.3">
      <c r="A46" s="63"/>
      <c r="B46" s="37">
        <f t="shared" si="1"/>
        <v>37</v>
      </c>
      <c r="C46" s="53" t="s">
        <v>11</v>
      </c>
      <c r="D46" s="71" t="s">
        <v>46</v>
      </c>
      <c r="E46" s="67" t="s">
        <v>88</v>
      </c>
      <c r="F46" s="61" t="s">
        <v>118</v>
      </c>
      <c r="G46" s="67" t="s">
        <v>149</v>
      </c>
      <c r="H46" s="61" t="s">
        <v>158</v>
      </c>
      <c r="I46" s="61" t="s">
        <v>225</v>
      </c>
      <c r="J46" s="61" t="s">
        <v>225</v>
      </c>
      <c r="K46" s="68" t="s">
        <v>225</v>
      </c>
      <c r="L46" s="61">
        <v>1</v>
      </c>
      <c r="M46" s="61">
        <f t="shared" si="0"/>
        <v>10</v>
      </c>
      <c r="N46" s="61">
        <v>11</v>
      </c>
      <c r="O46" s="69" t="s">
        <v>231</v>
      </c>
      <c r="P46" s="70">
        <v>7.3</v>
      </c>
      <c r="Q46" s="70">
        <f t="shared" si="2"/>
        <v>80.3</v>
      </c>
      <c r="R46" s="95" t="s">
        <v>269</v>
      </c>
      <c r="S46" s="70"/>
    </row>
    <row r="47" spans="1:19" s="64" customFormat="1" ht="30.75" thickBot="1" x14ac:dyDescent="0.3">
      <c r="A47" s="63"/>
      <c r="B47" s="37">
        <f>ROW(B47) - ROW($B$9)</f>
        <v>38</v>
      </c>
      <c r="C47" s="53" t="s">
        <v>11</v>
      </c>
      <c r="D47" s="100" t="s">
        <v>47</v>
      </c>
      <c r="E47" s="61" t="s">
        <v>89</v>
      </c>
      <c r="F47" s="61" t="s">
        <v>119</v>
      </c>
      <c r="G47" s="67" t="s">
        <v>150</v>
      </c>
      <c r="H47" s="61" t="s">
        <v>166</v>
      </c>
      <c r="I47" s="61" t="s">
        <v>225</v>
      </c>
      <c r="J47" s="61" t="s">
        <v>225</v>
      </c>
      <c r="K47" s="68" t="s">
        <v>225</v>
      </c>
      <c r="L47" s="101">
        <v>4</v>
      </c>
      <c r="M47" s="61">
        <f t="shared" si="0"/>
        <v>40</v>
      </c>
      <c r="N47" s="61">
        <v>41</v>
      </c>
      <c r="O47" s="69" t="s">
        <v>231</v>
      </c>
      <c r="P47" s="70">
        <v>4.2</v>
      </c>
      <c r="Q47" s="70">
        <f t="shared" si="2"/>
        <v>172.20000000000002</v>
      </c>
      <c r="R47" s="95" t="s">
        <v>269</v>
      </c>
      <c r="S47" s="70"/>
    </row>
    <row r="48" spans="1:19" s="64" customFormat="1" ht="24.75" thickBot="1" x14ac:dyDescent="0.3">
      <c r="A48" s="63"/>
      <c r="B48" s="37">
        <f t="shared" si="1"/>
        <v>39</v>
      </c>
      <c r="C48" s="53" t="s">
        <v>207</v>
      </c>
      <c r="D48" s="71" t="s">
        <v>48</v>
      </c>
      <c r="E48" s="67" t="s">
        <v>90</v>
      </c>
      <c r="F48" s="61" t="s">
        <v>230</v>
      </c>
      <c r="G48" s="67" t="s">
        <v>120</v>
      </c>
      <c r="H48" s="61" t="s">
        <v>167</v>
      </c>
      <c r="I48" s="61" t="s">
        <v>225</v>
      </c>
      <c r="J48" s="61" t="s">
        <v>234</v>
      </c>
      <c r="K48" s="68" t="s">
        <v>235</v>
      </c>
      <c r="L48" s="61">
        <v>1</v>
      </c>
      <c r="M48" s="61">
        <f t="shared" si="0"/>
        <v>10</v>
      </c>
      <c r="N48" s="61">
        <v>15</v>
      </c>
      <c r="O48" s="69" t="s">
        <v>223</v>
      </c>
      <c r="P48" s="70">
        <v>0.2301</v>
      </c>
      <c r="Q48" s="70">
        <f t="shared" si="2"/>
        <v>3.4514999999999998</v>
      </c>
      <c r="R48" s="67"/>
      <c r="S48" s="70"/>
    </row>
    <row r="49" spans="1:19" s="64" customFormat="1" ht="24.75" thickBot="1" x14ac:dyDescent="0.3">
      <c r="A49" s="63"/>
      <c r="B49" s="37">
        <f>ROW(B49) - ROW($B$9)</f>
        <v>40</v>
      </c>
      <c r="C49" s="53" t="s">
        <v>207</v>
      </c>
      <c r="D49" s="100" t="s">
        <v>49</v>
      </c>
      <c r="E49" s="61" t="s">
        <v>91</v>
      </c>
      <c r="F49" s="61" t="s">
        <v>230</v>
      </c>
      <c r="G49" s="67" t="s">
        <v>121</v>
      </c>
      <c r="H49" s="61" t="s">
        <v>168</v>
      </c>
      <c r="I49" s="61" t="s">
        <v>225</v>
      </c>
      <c r="J49" s="61" t="s">
        <v>236</v>
      </c>
      <c r="K49" s="68" t="s">
        <v>237</v>
      </c>
      <c r="L49" s="103">
        <v>2</v>
      </c>
      <c r="M49" s="61">
        <f t="shared" si="0"/>
        <v>20</v>
      </c>
      <c r="N49" s="61">
        <v>25</v>
      </c>
      <c r="O49" s="69" t="s">
        <v>223</v>
      </c>
      <c r="P49" s="70">
        <v>7.5300000000000006E-2</v>
      </c>
      <c r="Q49" s="70">
        <f t="shared" si="2"/>
        <v>1.8825000000000001</v>
      </c>
      <c r="R49" s="67"/>
      <c r="S49" s="70"/>
    </row>
    <row r="50" spans="1:19" ht="19.5" thickBot="1" x14ac:dyDescent="0.3">
      <c r="A50" s="1"/>
      <c r="B50" s="32"/>
      <c r="C50" s="43"/>
      <c r="D50" s="33"/>
      <c r="E50" s="34"/>
      <c r="F50" s="35"/>
      <c r="G50" s="36"/>
      <c r="H50" s="35"/>
      <c r="I50" s="36"/>
      <c r="J50" s="35"/>
      <c r="K50" s="36"/>
      <c r="L50" s="60"/>
      <c r="M50" s="36"/>
      <c r="N50" s="108" t="s">
        <v>217</v>
      </c>
      <c r="O50" s="109"/>
      <c r="P50" s="109"/>
      <c r="Q50" s="56">
        <f>SUM(Q10:Q49)</f>
        <v>1087.9541999999997</v>
      </c>
      <c r="R50" s="110"/>
      <c r="S50" s="111"/>
    </row>
    <row r="51" spans="1:19" ht="19.5" thickBot="1" x14ac:dyDescent="0.3">
      <c r="A51" s="1"/>
      <c r="B51" s="25"/>
      <c r="C51" s="44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8" t="s">
        <v>218</v>
      </c>
      <c r="O51" s="109"/>
      <c r="P51" s="109"/>
      <c r="Q51" s="57">
        <f>Q50/10</f>
        <v>108.79541999999996</v>
      </c>
      <c r="R51" s="112"/>
      <c r="S51" s="113"/>
    </row>
  </sheetData>
  <mergeCells count="5">
    <mergeCell ref="K1:S1"/>
    <mergeCell ref="S3:S8"/>
    <mergeCell ref="N50:P50"/>
    <mergeCell ref="R50:S51"/>
    <mergeCell ref="N51:P51"/>
  </mergeCells>
  <hyperlinks>
    <hyperlink ref="O13" r:id="rId1"/>
    <hyperlink ref="O22" r:id="rId2"/>
    <hyperlink ref="O23" r:id="rId3"/>
    <hyperlink ref="O26" r:id="rId4"/>
    <hyperlink ref="O29" r:id="rId5"/>
    <hyperlink ref="O44" r:id="rId6"/>
    <hyperlink ref="O31" r:id="rId7"/>
    <hyperlink ref="O40" r:id="rId8"/>
    <hyperlink ref="O35" r:id="rId9"/>
    <hyperlink ref="O10" r:id="rId10"/>
    <hyperlink ref="O12" r:id="rId11"/>
    <hyperlink ref="O15" r:id="rId12"/>
    <hyperlink ref="O16" r:id="rId13"/>
    <hyperlink ref="O19" r:id="rId14"/>
    <hyperlink ref="O11" r:id="rId15"/>
    <hyperlink ref="O20" r:id="rId16"/>
    <hyperlink ref="O17" r:id="rId17"/>
    <hyperlink ref="O25" r:id="rId18"/>
    <hyperlink ref="O32" r:id="rId19"/>
    <hyperlink ref="O33" r:id="rId20"/>
    <hyperlink ref="O34" r:id="rId21"/>
    <hyperlink ref="O36" r:id="rId22"/>
    <hyperlink ref="O37" r:id="rId23"/>
    <hyperlink ref="O41" r:id="rId24"/>
    <hyperlink ref="O42" r:id="rId25"/>
    <hyperlink ref="O48" r:id="rId26"/>
    <hyperlink ref="O49" r:id="rId27"/>
    <hyperlink ref="O14" r:id="rId28"/>
    <hyperlink ref="O18" r:id="rId29"/>
    <hyperlink ref="O39" r:id="rId30"/>
    <hyperlink ref="O27" r:id="rId31"/>
    <hyperlink ref="O21" r:id="rId32"/>
    <hyperlink ref="O24" r:id="rId33"/>
    <hyperlink ref="O45" r:id="rId34"/>
  </hyperlinks>
  <pageMargins left="0.7" right="0.7" top="0.75" bottom="0.75" header="0.3" footer="0.3"/>
  <pageSetup orientation="portrait" r:id="rId35"/>
  <drawing r:id="rId3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2"/>
  <sheetViews>
    <sheetView topLeftCell="H40" zoomScale="115" zoomScaleNormal="115" workbookViewId="0">
      <selection activeCell="P57" sqref="P5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4"/>
      <c r="L1" s="104"/>
      <c r="M1" s="104"/>
      <c r="N1" s="104"/>
      <c r="O1" s="104"/>
      <c r="P1" s="104"/>
      <c r="Q1" s="104"/>
      <c r="R1" s="104"/>
      <c r="S1" s="105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6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7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7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7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7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7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0" t="s">
        <v>200</v>
      </c>
      <c r="M9" s="30" t="s">
        <v>219</v>
      </c>
      <c r="N9" s="31" t="s">
        <v>220</v>
      </c>
      <c r="O9" s="30" t="s">
        <v>212</v>
      </c>
      <c r="P9" s="31" t="s">
        <v>221</v>
      </c>
      <c r="Q9" s="30" t="s">
        <v>222</v>
      </c>
      <c r="R9" s="31" t="s">
        <v>215</v>
      </c>
      <c r="S9" s="30" t="s">
        <v>216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L10*20</f>
        <v>400</v>
      </c>
      <c r="N10" s="61">
        <v>450</v>
      </c>
      <c r="O10" s="69" t="s">
        <v>223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45">
        <f t="shared" ref="M11:M50" si="1">L11*20</f>
        <v>20</v>
      </c>
      <c r="N11" s="45">
        <v>40</v>
      </c>
      <c r="O11" s="62" t="s">
        <v>223</v>
      </c>
      <c r="P11" s="47">
        <v>1.7399999999999999E-2</v>
      </c>
      <c r="Q11" s="47">
        <f t="shared" ref="Q11:Q50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1">
        <f>L12*20</f>
        <v>860</v>
      </c>
      <c r="N12" s="61">
        <v>900</v>
      </c>
      <c r="O12" s="69" t="s">
        <v>223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45">
        <f t="shared" si="1"/>
        <v>240</v>
      </c>
      <c r="N13" s="45">
        <v>300</v>
      </c>
      <c r="O13" s="62" t="s">
        <v>223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54</v>
      </c>
      <c r="F14" s="61" t="s">
        <v>96</v>
      </c>
      <c r="G14" s="67" t="s">
        <v>126</v>
      </c>
      <c r="H14" s="61" t="s">
        <v>154</v>
      </c>
      <c r="I14" s="61" t="s">
        <v>225</v>
      </c>
      <c r="J14" s="61" t="s">
        <v>171</v>
      </c>
      <c r="K14" s="68" t="s">
        <v>185</v>
      </c>
      <c r="L14" s="61">
        <v>2</v>
      </c>
      <c r="M14" s="61">
        <f t="shared" si="1"/>
        <v>40</v>
      </c>
      <c r="N14" s="61">
        <v>45</v>
      </c>
      <c r="O14" s="69" t="s">
        <v>223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45">
        <f t="shared" si="1"/>
        <v>320</v>
      </c>
      <c r="N15" s="45">
        <v>400</v>
      </c>
      <c r="O15" s="62" t="s">
        <v>223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1">
        <f t="shared" si="1"/>
        <v>20</v>
      </c>
      <c r="N16" s="61">
        <v>30</v>
      </c>
      <c r="O16" s="69" t="s">
        <v>223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57</v>
      </c>
      <c r="F17" s="45" t="s">
        <v>94</v>
      </c>
      <c r="G17" s="46" t="s">
        <v>129</v>
      </c>
      <c r="H17" s="45" t="s">
        <v>152</v>
      </c>
      <c r="I17" s="45" t="s">
        <v>225</v>
      </c>
      <c r="J17" s="45" t="s">
        <v>247</v>
      </c>
      <c r="K17" s="58" t="s">
        <v>188</v>
      </c>
      <c r="L17" s="59">
        <v>6</v>
      </c>
      <c r="M17" s="45">
        <f t="shared" si="1"/>
        <v>120</v>
      </c>
      <c r="N17" s="45">
        <v>200</v>
      </c>
      <c r="O17" s="62" t="s">
        <v>223</v>
      </c>
      <c r="P17" s="47">
        <v>2.7000000000000001E-3</v>
      </c>
      <c r="Q17" s="47">
        <f t="shared" si="2"/>
        <v>0.54</v>
      </c>
      <c r="R17" s="46"/>
      <c r="S17" s="47"/>
    </row>
    <row r="18" spans="1:19" ht="24.75" thickBot="1" x14ac:dyDescent="0.3">
      <c r="A18" s="1"/>
      <c r="B18" s="37">
        <f>ROW(B18) - ROW($B$9)</f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1">
        <f>L18*20</f>
        <v>220</v>
      </c>
      <c r="N18" s="61">
        <v>230</v>
      </c>
      <c r="O18" s="69" t="s">
        <v>223</v>
      </c>
      <c r="P18" s="70">
        <v>3.1199999999999999E-2</v>
      </c>
      <c r="Q18" s="70">
        <f>P18*N18</f>
        <v>7.1759999999999993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59</v>
      </c>
      <c r="F19" s="45" t="s">
        <v>93</v>
      </c>
      <c r="G19" s="46" t="s">
        <v>130</v>
      </c>
      <c r="H19" s="45" t="s">
        <v>152</v>
      </c>
      <c r="I19" s="45" t="s">
        <v>225</v>
      </c>
      <c r="J19" s="45" t="s">
        <v>172</v>
      </c>
      <c r="K19" s="58" t="s">
        <v>190</v>
      </c>
      <c r="L19" s="59">
        <v>4</v>
      </c>
      <c r="M19" s="45">
        <f t="shared" si="1"/>
        <v>80</v>
      </c>
      <c r="N19" s="45">
        <v>100</v>
      </c>
      <c r="O19" s="62" t="s">
        <v>223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1">
        <f t="shared" si="1"/>
        <v>20</v>
      </c>
      <c r="N20" s="61">
        <v>100</v>
      </c>
      <c r="O20" s="69" t="s">
        <v>223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62</v>
      </c>
      <c r="F21" s="45" t="s">
        <v>93</v>
      </c>
      <c r="G21" s="46" t="s">
        <v>133</v>
      </c>
      <c r="H21" s="45" t="s">
        <v>152</v>
      </c>
      <c r="I21" s="45" t="s">
        <v>225</v>
      </c>
      <c r="J21" s="45" t="s">
        <v>174</v>
      </c>
      <c r="K21" s="58" t="s">
        <v>192</v>
      </c>
      <c r="L21" s="59">
        <v>8</v>
      </c>
      <c r="M21" s="45">
        <f t="shared" si="1"/>
        <v>160</v>
      </c>
      <c r="N21" s="45">
        <v>200</v>
      </c>
      <c r="O21" s="62" t="s">
        <v>223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1">
        <f t="shared" si="1"/>
        <v>160</v>
      </c>
      <c r="N22" s="61">
        <v>200</v>
      </c>
      <c r="O22" s="69" t="s">
        <v>223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64</v>
      </c>
      <c r="F23" s="45" t="s">
        <v>98</v>
      </c>
      <c r="G23" s="46" t="s">
        <v>136</v>
      </c>
      <c r="H23" s="45" t="s">
        <v>155</v>
      </c>
      <c r="I23" s="45" t="s">
        <v>225</v>
      </c>
      <c r="J23" s="45" t="s">
        <v>249</v>
      </c>
      <c r="K23" s="58" t="s">
        <v>189</v>
      </c>
      <c r="L23" s="59">
        <v>8</v>
      </c>
      <c r="M23" s="45">
        <f t="shared" si="1"/>
        <v>160</v>
      </c>
      <c r="N23" s="45">
        <v>170</v>
      </c>
      <c r="O23" s="62" t="s">
        <v>223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24.75" thickBot="1" x14ac:dyDescent="0.3">
      <c r="A24" s="1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45">
        <f t="shared" si="1"/>
        <v>20</v>
      </c>
      <c r="N24" s="45">
        <v>30</v>
      </c>
      <c r="O24" s="62" t="s">
        <v>223</v>
      </c>
      <c r="P24" s="47">
        <v>3.9800000000000002E-2</v>
      </c>
      <c r="Q24" s="47">
        <f t="shared" si="2"/>
        <v>1.194</v>
      </c>
      <c r="R24" s="46"/>
      <c r="S24" s="47"/>
    </row>
    <row r="25" spans="1:19" ht="24.75" thickBot="1" x14ac:dyDescent="0.3">
      <c r="A25" s="1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1">
        <f t="shared" si="1"/>
        <v>20</v>
      </c>
      <c r="N25" s="61">
        <v>30</v>
      </c>
      <c r="O25" s="69" t="s">
        <v>223</v>
      </c>
      <c r="P25" s="70">
        <v>3.1800000000000002E-2</v>
      </c>
      <c r="Q25" s="70">
        <f t="shared" si="2"/>
        <v>0.95400000000000007</v>
      </c>
      <c r="R25" s="67"/>
      <c r="S25" s="70"/>
    </row>
    <row r="26" spans="1:19" ht="15.75" thickBot="1" x14ac:dyDescent="0.3">
      <c r="A26" s="1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45">
        <f t="shared" si="1"/>
        <v>20</v>
      </c>
      <c r="N26" s="45">
        <v>40</v>
      </c>
      <c r="O26" s="62" t="s">
        <v>223</v>
      </c>
      <c r="P26" s="47">
        <v>2.3699999999999999E-2</v>
      </c>
      <c r="Q26" s="47">
        <f t="shared" si="2"/>
        <v>0.94799999999999995</v>
      </c>
      <c r="R26" s="46"/>
      <c r="S26" s="47"/>
    </row>
    <row r="27" spans="1:19" ht="36.75" thickBot="1" x14ac:dyDescent="0.3">
      <c r="A27" s="1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1">
        <f t="shared" si="1"/>
        <v>20</v>
      </c>
      <c r="N27" s="61">
        <v>30</v>
      </c>
      <c r="O27" s="69" t="s">
        <v>223</v>
      </c>
      <c r="P27" s="70">
        <v>5.5599999999999997E-2</v>
      </c>
      <c r="Q27" s="70">
        <f t="shared" si="2"/>
        <v>1.6679999999999999</v>
      </c>
      <c r="R27" s="67"/>
      <c r="S27" s="70"/>
    </row>
    <row r="28" spans="1:19" ht="24.75" thickBot="1" x14ac:dyDescent="0.3">
      <c r="A28" s="1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45">
        <f t="shared" si="1"/>
        <v>160</v>
      </c>
      <c r="N28" s="45">
        <v>180</v>
      </c>
      <c r="O28" s="62" t="s">
        <v>231</v>
      </c>
      <c r="P28" s="47">
        <v>2</v>
      </c>
      <c r="Q28" s="47">
        <f t="shared" si="2"/>
        <v>360</v>
      </c>
      <c r="R28" s="89" t="s">
        <v>269</v>
      </c>
      <c r="S28" s="47"/>
    </row>
    <row r="29" spans="1:19" ht="24.75" thickBot="1" x14ac:dyDescent="0.3">
      <c r="A29" s="1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1">
        <f t="shared" si="1"/>
        <v>80</v>
      </c>
      <c r="N29" s="61">
        <v>90</v>
      </c>
      <c r="O29" s="69" t="s">
        <v>231</v>
      </c>
      <c r="P29" s="70">
        <v>2</v>
      </c>
      <c r="Q29" s="70">
        <f t="shared" si="2"/>
        <v>180</v>
      </c>
      <c r="R29" s="95" t="s">
        <v>269</v>
      </c>
      <c r="S29" s="70"/>
    </row>
    <row r="30" spans="1:19" ht="15.75" thickBot="1" x14ac:dyDescent="0.3">
      <c r="A30" s="1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45">
        <f t="shared" si="1"/>
        <v>20</v>
      </c>
      <c r="N30" s="45">
        <v>40</v>
      </c>
      <c r="O30" s="62" t="s">
        <v>223</v>
      </c>
      <c r="P30" s="47">
        <v>2.7300000000000001E-2</v>
      </c>
      <c r="Q30" s="47">
        <f t="shared" si="2"/>
        <v>1.0920000000000001</v>
      </c>
      <c r="R30" s="46"/>
      <c r="S30" s="47"/>
    </row>
    <row r="31" spans="1:19" ht="15.75" thickBot="1" x14ac:dyDescent="0.3">
      <c r="A31" s="1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1">
        <f t="shared" si="1"/>
        <v>100</v>
      </c>
      <c r="N31" s="91" t="s">
        <v>225</v>
      </c>
      <c r="O31" s="93" t="s">
        <v>225</v>
      </c>
      <c r="P31" s="94" t="s">
        <v>225</v>
      </c>
      <c r="Q31" s="94" t="s">
        <v>225</v>
      </c>
      <c r="R31" s="74"/>
      <c r="S31" s="94"/>
    </row>
    <row r="32" spans="1:19" ht="15.75" thickBot="1" x14ac:dyDescent="0.3">
      <c r="A32" s="1"/>
      <c r="B32" s="65">
        <f t="shared" si="0"/>
        <v>23</v>
      </c>
      <c r="C32" s="76" t="s">
        <v>204</v>
      </c>
      <c r="D32" s="77" t="s">
        <v>32</v>
      </c>
      <c r="E32" s="78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81">
        <v>3</v>
      </c>
      <c r="M32" s="78">
        <f t="shared" si="1"/>
        <v>60</v>
      </c>
      <c r="N32" s="78">
        <v>100</v>
      </c>
      <c r="O32" s="82" t="s">
        <v>223</v>
      </c>
      <c r="P32" s="83">
        <v>6.9999999999999999E-4</v>
      </c>
      <c r="Q32" s="83">
        <f t="shared" si="2"/>
        <v>6.9999999999999993E-2</v>
      </c>
      <c r="R32" s="79"/>
      <c r="S32" s="83"/>
    </row>
    <row r="33" spans="1:19" ht="15.75" thickBot="1" x14ac:dyDescent="0.3">
      <c r="A33" s="1"/>
      <c r="B33" s="37">
        <f>ROW(B33) - ROW($B$9)</f>
        <v>24</v>
      </c>
      <c r="C33" s="53" t="s">
        <v>204</v>
      </c>
      <c r="D33" s="71" t="s">
        <v>33</v>
      </c>
      <c r="E33" s="67" t="s">
        <v>74</v>
      </c>
      <c r="F33" s="61" t="s">
        <v>108</v>
      </c>
      <c r="G33" s="67" t="s">
        <v>140</v>
      </c>
      <c r="H33" s="61" t="s">
        <v>152</v>
      </c>
      <c r="I33" s="61" t="s">
        <v>225</v>
      </c>
      <c r="J33" s="61" t="s">
        <v>250</v>
      </c>
      <c r="K33" s="68" t="s">
        <v>194</v>
      </c>
      <c r="L33" s="61">
        <v>8</v>
      </c>
      <c r="M33" s="61">
        <f t="shared" si="1"/>
        <v>160</v>
      </c>
      <c r="N33" s="61">
        <v>200</v>
      </c>
      <c r="O33" s="69" t="s">
        <v>223</v>
      </c>
      <c r="P33" s="70">
        <v>1.1000000000000001E-3</v>
      </c>
      <c r="Q33" s="70">
        <f t="shared" si="2"/>
        <v>0.22</v>
      </c>
      <c r="R33" s="67"/>
      <c r="S33" s="70"/>
    </row>
    <row r="34" spans="1:19" ht="15.75" thickBot="1" x14ac:dyDescent="0.3">
      <c r="A34" s="1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45">
        <f t="shared" si="1"/>
        <v>60</v>
      </c>
      <c r="N34" s="45">
        <v>100</v>
      </c>
      <c r="O34" s="62" t="s">
        <v>223</v>
      </c>
      <c r="P34" s="47">
        <v>1E-3</v>
      </c>
      <c r="Q34" s="47">
        <f t="shared" si="2"/>
        <v>0.1</v>
      </c>
      <c r="R34" s="46"/>
      <c r="S34" s="47"/>
    </row>
    <row r="35" spans="1:19" ht="24.75" thickBot="1" x14ac:dyDescent="0.3">
      <c r="A35" s="1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1">
        <f t="shared" si="1"/>
        <v>200</v>
      </c>
      <c r="N35" s="61">
        <v>300</v>
      </c>
      <c r="O35" s="69" t="s">
        <v>223</v>
      </c>
      <c r="P35" s="70">
        <v>8.9999999999999998E-4</v>
      </c>
      <c r="Q35" s="70">
        <f t="shared" si="2"/>
        <v>0.27</v>
      </c>
      <c r="R35" s="67"/>
      <c r="S35" s="70"/>
    </row>
    <row r="36" spans="1:19" ht="15.75" thickBot="1" x14ac:dyDescent="0.3">
      <c r="A36" s="1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45">
        <f t="shared" si="1"/>
        <v>40</v>
      </c>
      <c r="N36" s="45">
        <v>100</v>
      </c>
      <c r="O36" s="62" t="s">
        <v>223</v>
      </c>
      <c r="P36" s="47">
        <v>1E-3</v>
      </c>
      <c r="Q36" s="47">
        <f t="shared" si="2"/>
        <v>0.1</v>
      </c>
      <c r="R36" s="46"/>
      <c r="S36" s="47"/>
    </row>
    <row r="37" spans="1:19" ht="36.75" thickBot="1" x14ac:dyDescent="0.3">
      <c r="A37" s="1"/>
      <c r="B37" s="37">
        <f>ROW(B37) - ROW($B$9)</f>
        <v>28</v>
      </c>
      <c r="C37" s="53" t="s">
        <v>204</v>
      </c>
      <c r="D37" s="71" t="s">
        <v>259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17</v>
      </c>
      <c r="M37" s="61">
        <f t="shared" si="1"/>
        <v>340</v>
      </c>
      <c r="N37" s="61">
        <v>400</v>
      </c>
      <c r="O37" s="69" t="s">
        <v>223</v>
      </c>
      <c r="P37" s="70">
        <v>5.9999999999999995E-4</v>
      </c>
      <c r="Q37" s="70">
        <f t="shared" si="2"/>
        <v>0.24</v>
      </c>
      <c r="R37" s="67"/>
      <c r="S37" s="70"/>
    </row>
    <row r="38" spans="1:19" ht="15.75" thickBot="1" x14ac:dyDescent="0.3">
      <c r="A38" s="1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45">
        <f t="shared" si="1"/>
        <v>80</v>
      </c>
      <c r="N38" s="45">
        <v>100</v>
      </c>
      <c r="O38" s="62" t="s">
        <v>223</v>
      </c>
      <c r="P38" s="47">
        <v>1.2999999999999999E-3</v>
      </c>
      <c r="Q38" s="47">
        <f t="shared" si="2"/>
        <v>0.13</v>
      </c>
      <c r="R38" s="46"/>
      <c r="S38" s="47"/>
    </row>
    <row r="39" spans="1:19" s="64" customFormat="1" ht="256.5" customHeight="1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2120</v>
      </c>
      <c r="N39" s="91" t="s">
        <v>225</v>
      </c>
      <c r="O39" s="93" t="s">
        <v>225</v>
      </c>
      <c r="P39" s="94" t="s">
        <v>225</v>
      </c>
      <c r="Q39" s="94" t="s">
        <v>225</v>
      </c>
      <c r="R39" s="74"/>
      <c r="S39" s="94"/>
    </row>
    <row r="40" spans="1:19" ht="36.75" thickBot="1" x14ac:dyDescent="0.3">
      <c r="A40" s="1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275</v>
      </c>
      <c r="K40" s="58" t="s">
        <v>225</v>
      </c>
      <c r="L40" s="59">
        <v>1</v>
      </c>
      <c r="M40" s="45">
        <f t="shared" si="1"/>
        <v>20</v>
      </c>
      <c r="N40" s="45">
        <v>30</v>
      </c>
      <c r="O40" s="62" t="s">
        <v>223</v>
      </c>
      <c r="P40" s="47">
        <v>5.7599999999999998E-2</v>
      </c>
      <c r="Q40" s="47">
        <f t="shared" si="2"/>
        <v>1.728</v>
      </c>
      <c r="R40" s="89"/>
      <c r="S40" s="47"/>
    </row>
    <row r="41" spans="1:19" ht="15.75" thickBot="1" x14ac:dyDescent="0.3">
      <c r="A41" s="1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179</v>
      </c>
      <c r="K41" s="68" t="s">
        <v>225</v>
      </c>
      <c r="L41" s="61">
        <v>1</v>
      </c>
      <c r="M41" s="61">
        <f t="shared" si="1"/>
        <v>20</v>
      </c>
      <c r="N41" s="61">
        <v>22</v>
      </c>
      <c r="O41" s="69" t="s">
        <v>223</v>
      </c>
      <c r="P41" s="70">
        <v>3.99</v>
      </c>
      <c r="Q41" s="70">
        <f t="shared" si="2"/>
        <v>87.78</v>
      </c>
      <c r="R41" s="67"/>
      <c r="S41" s="70"/>
    </row>
    <row r="42" spans="1:19" ht="15.75" thickBot="1" x14ac:dyDescent="0.3">
      <c r="A42" s="1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/>
      <c r="J42" s="45" t="s">
        <v>180</v>
      </c>
      <c r="K42" s="58" t="s">
        <v>225</v>
      </c>
      <c r="L42" s="59">
        <v>8</v>
      </c>
      <c r="M42" s="45">
        <f t="shared" si="1"/>
        <v>160</v>
      </c>
      <c r="N42" s="45">
        <v>165</v>
      </c>
      <c r="O42" s="62" t="s">
        <v>223</v>
      </c>
      <c r="P42" s="47">
        <v>3.6194000000000002</v>
      </c>
      <c r="Q42" s="47">
        <f t="shared" si="2"/>
        <v>597.20100000000002</v>
      </c>
      <c r="R42" s="46"/>
      <c r="S42" s="47"/>
    </row>
    <row r="43" spans="1:19" ht="24.75" thickBot="1" x14ac:dyDescent="0.3">
      <c r="A43" s="1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1">
        <f t="shared" si="1"/>
        <v>20</v>
      </c>
      <c r="N43" s="61">
        <v>22</v>
      </c>
      <c r="O43" s="69" t="s">
        <v>223</v>
      </c>
      <c r="P43" s="70">
        <v>0.42</v>
      </c>
      <c r="Q43" s="70">
        <f t="shared" si="2"/>
        <v>9.24</v>
      </c>
      <c r="R43" s="67"/>
      <c r="S43" s="70"/>
    </row>
    <row r="44" spans="1:19" ht="24.75" thickBot="1" x14ac:dyDescent="0.3">
      <c r="A44" s="1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45">
        <f t="shared" si="1"/>
        <v>20</v>
      </c>
      <c r="N44" s="45">
        <v>22</v>
      </c>
      <c r="O44" s="62" t="s">
        <v>231</v>
      </c>
      <c r="P44" s="47">
        <v>12.6</v>
      </c>
      <c r="Q44" s="47">
        <f t="shared" si="2"/>
        <v>277.2</v>
      </c>
      <c r="R44" s="89" t="s">
        <v>269</v>
      </c>
      <c r="S44" s="47"/>
    </row>
    <row r="45" spans="1:19" ht="15.75" thickBot="1" x14ac:dyDescent="0.3">
      <c r="A45" s="1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1">
        <f t="shared" si="1"/>
        <v>40</v>
      </c>
      <c r="N45" s="61">
        <v>42</v>
      </c>
      <c r="O45" s="69" t="s">
        <v>223</v>
      </c>
      <c r="P45" s="70">
        <v>3.2374999999999998</v>
      </c>
      <c r="Q45" s="70">
        <f t="shared" si="2"/>
        <v>135.97499999999999</v>
      </c>
      <c r="R45" s="67"/>
      <c r="S45" s="70"/>
    </row>
    <row r="46" spans="1:19" ht="36.75" thickBot="1" x14ac:dyDescent="0.3">
      <c r="A46" s="1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98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45">
        <f t="shared" si="1"/>
        <v>20</v>
      </c>
      <c r="N46" s="45">
        <v>30</v>
      </c>
      <c r="O46" s="62" t="s">
        <v>276</v>
      </c>
      <c r="P46" s="47">
        <v>6.3399999999999998E-2</v>
      </c>
      <c r="Q46" s="47">
        <f t="shared" si="2"/>
        <v>1.9019999999999999</v>
      </c>
      <c r="R46" s="46"/>
      <c r="S46" s="47"/>
    </row>
    <row r="47" spans="1:19" ht="24.75" thickBot="1" x14ac:dyDescent="0.3">
      <c r="A47" s="1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1">
        <f t="shared" si="1"/>
        <v>20</v>
      </c>
      <c r="N47" s="61">
        <v>22</v>
      </c>
      <c r="O47" s="69" t="s">
        <v>231</v>
      </c>
      <c r="P47" s="70">
        <v>7.3</v>
      </c>
      <c r="Q47" s="70">
        <f t="shared" si="2"/>
        <v>160.6</v>
      </c>
      <c r="R47" s="95" t="s">
        <v>269</v>
      </c>
      <c r="S47" s="70"/>
    </row>
    <row r="48" spans="1:19" ht="24.75" thickBot="1" x14ac:dyDescent="0.3">
      <c r="A48" s="1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45">
        <f t="shared" si="1"/>
        <v>80</v>
      </c>
      <c r="N48" s="45">
        <v>82</v>
      </c>
      <c r="O48" s="62" t="s">
        <v>231</v>
      </c>
      <c r="P48" s="47">
        <v>4.2</v>
      </c>
      <c r="Q48" s="47">
        <f t="shared" si="2"/>
        <v>344.40000000000003</v>
      </c>
      <c r="R48" s="89" t="s">
        <v>269</v>
      </c>
      <c r="S48" s="47"/>
    </row>
    <row r="49" spans="1:19" ht="36.75" thickBot="1" x14ac:dyDescent="0.3">
      <c r="A49" s="1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1">
        <f t="shared" si="1"/>
        <v>20</v>
      </c>
      <c r="N49" s="61">
        <v>22</v>
      </c>
      <c r="O49" s="69" t="s">
        <v>223</v>
      </c>
      <c r="P49" s="70">
        <v>0.15179999999999999</v>
      </c>
      <c r="Q49" s="70">
        <f t="shared" si="2"/>
        <v>3.3395999999999999</v>
      </c>
      <c r="R49" s="67"/>
      <c r="S49" s="70"/>
    </row>
    <row r="50" spans="1:19" ht="36.75" thickBot="1" x14ac:dyDescent="0.3">
      <c r="A50" s="1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45">
        <f t="shared" si="1"/>
        <v>40</v>
      </c>
      <c r="N50" s="45">
        <v>45</v>
      </c>
      <c r="O50" s="62" t="s">
        <v>223</v>
      </c>
      <c r="P50" s="47">
        <v>7.4099999999999999E-2</v>
      </c>
      <c r="Q50" s="47">
        <f t="shared" si="2"/>
        <v>3.3344999999999998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8" t="s">
        <v>217</v>
      </c>
      <c r="O51" s="109"/>
      <c r="P51" s="109"/>
      <c r="Q51" s="56">
        <f>SUM(Q10:Q50)</f>
        <v>2278.0145999999995</v>
      </c>
      <c r="R51" s="110"/>
      <c r="S51" s="111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8" t="s">
        <v>218</v>
      </c>
      <c r="O52" s="109"/>
      <c r="P52" s="109"/>
      <c r="Q52" s="57">
        <f>Q51/20</f>
        <v>113.90072999999998</v>
      </c>
      <c r="R52" s="112"/>
      <c r="S52" s="113"/>
    </row>
  </sheetData>
  <mergeCells count="5">
    <mergeCell ref="K1:S1"/>
    <mergeCell ref="S3:S8"/>
    <mergeCell ref="R51:S52"/>
    <mergeCell ref="N51:P51"/>
    <mergeCell ref="N52:P52"/>
  </mergeCells>
  <hyperlinks>
    <hyperlink ref="O14" r:id="rId1"/>
    <hyperlink ref="O24" r:id="rId2"/>
    <hyperlink ref="O25" r:id="rId3"/>
    <hyperlink ref="O27" r:id="rId4"/>
    <hyperlink ref="O30" r:id="rId5"/>
    <hyperlink ref="O45" r:id="rId6"/>
    <hyperlink ref="O32" r:id="rId7"/>
    <hyperlink ref="O41" r:id="rId8"/>
    <hyperlink ref="O36" r:id="rId9"/>
    <hyperlink ref="O10" r:id="rId10"/>
    <hyperlink ref="O11" r:id="rId11"/>
    <hyperlink ref="O13" r:id="rId12"/>
    <hyperlink ref="O16" r:id="rId13"/>
    <hyperlink ref="O17" r:id="rId14"/>
    <hyperlink ref="O19" r:id="rId15"/>
    <hyperlink ref="O12" r:id="rId16"/>
    <hyperlink ref="O20" r:id="rId17"/>
    <hyperlink ref="O21" r:id="rId18"/>
    <hyperlink ref="O22" r:id="rId19"/>
    <hyperlink ref="O23" r:id="rId20"/>
    <hyperlink ref="O26" r:id="rId21"/>
    <hyperlink ref="O33" r:id="rId22"/>
    <hyperlink ref="O34" r:id="rId23"/>
    <hyperlink ref="O35" r:id="rId24"/>
    <hyperlink ref="O37" r:id="rId25"/>
    <hyperlink ref="O38" r:id="rId26"/>
    <hyperlink ref="O42" r:id="rId27"/>
    <hyperlink ref="O43" r:id="rId28"/>
    <hyperlink ref="O49" r:id="rId29"/>
    <hyperlink ref="O50" r:id="rId30"/>
    <hyperlink ref="O15" r:id="rId31"/>
    <hyperlink ref="O18" r:id="rId32"/>
    <hyperlink ref="O40" r:id="rId33"/>
    <hyperlink ref="O46" r:id="rId34"/>
  </hyperlinks>
  <pageMargins left="0.7" right="0.7" top="0.75" bottom="0.75" header="0.3" footer="0.3"/>
  <pageSetup paperSize="9" orientation="portrait" r:id="rId35"/>
  <drawing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2"/>
  <sheetViews>
    <sheetView topLeftCell="A6" workbookViewId="0">
      <selection activeCell="D21" sqref="D21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4"/>
      <c r="L1" s="104"/>
      <c r="M1" s="104"/>
      <c r="N1" s="104"/>
      <c r="O1" s="104"/>
      <c r="P1" s="104"/>
      <c r="Q1" s="104"/>
      <c r="R1" s="104"/>
      <c r="S1" s="105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6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7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7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7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7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7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1" t="s">
        <v>200</v>
      </c>
      <c r="M9" s="30" t="s">
        <v>255</v>
      </c>
      <c r="N9" s="31" t="s">
        <v>256</v>
      </c>
      <c r="O9" s="30" t="s">
        <v>212</v>
      </c>
      <c r="P9" s="31" t="s">
        <v>257</v>
      </c>
      <c r="Q9" s="30" t="s">
        <v>258</v>
      </c>
      <c r="R9" s="31" t="s">
        <v>215</v>
      </c>
      <c r="S9" s="30" t="s">
        <v>216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L10*1000</f>
        <v>20000</v>
      </c>
      <c r="N10" s="61">
        <v>20100</v>
      </c>
      <c r="O10" s="69" t="s">
        <v>223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58">
        <f t="shared" ref="M11:M50" si="1">L11*1000</f>
        <v>1000</v>
      </c>
      <c r="N11" s="45">
        <v>1040</v>
      </c>
      <c r="O11" s="62" t="s">
        <v>223</v>
      </c>
      <c r="P11" s="47">
        <v>1.21E-2</v>
      </c>
      <c r="Q11" s="47">
        <f t="shared" ref="Q11:Q23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8">
        <f t="shared" si="1"/>
        <v>43000</v>
      </c>
      <c r="N12" s="61">
        <v>43100</v>
      </c>
      <c r="O12" s="69" t="s">
        <v>223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58">
        <f t="shared" si="1"/>
        <v>12000</v>
      </c>
      <c r="N13" s="45">
        <v>12100</v>
      </c>
      <c r="O13" s="62" t="s">
        <v>223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54</v>
      </c>
      <c r="F14" s="66" t="s">
        <v>96</v>
      </c>
      <c r="G14" s="85" t="s">
        <v>126</v>
      </c>
      <c r="H14" s="66" t="s">
        <v>154</v>
      </c>
      <c r="I14" s="66" t="s">
        <v>225</v>
      </c>
      <c r="J14" s="66" t="s">
        <v>171</v>
      </c>
      <c r="K14" s="86" t="s">
        <v>185</v>
      </c>
      <c r="L14" s="66">
        <v>2</v>
      </c>
      <c r="M14" s="86">
        <f t="shared" si="1"/>
        <v>2000</v>
      </c>
      <c r="N14" s="66">
        <v>2020</v>
      </c>
      <c r="O14" s="87" t="s">
        <v>223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58">
        <f t="shared" si="1"/>
        <v>16000</v>
      </c>
      <c r="N15" s="45">
        <v>16100</v>
      </c>
      <c r="O15" s="62" t="s">
        <v>223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8">
        <f t="shared" si="1"/>
        <v>1000</v>
      </c>
      <c r="N16" s="61">
        <v>1020</v>
      </c>
      <c r="O16" s="69" t="s">
        <v>223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57</v>
      </c>
      <c r="F17" s="78" t="s">
        <v>94</v>
      </c>
      <c r="G17" s="79" t="s">
        <v>129</v>
      </c>
      <c r="H17" s="78" t="s">
        <v>152</v>
      </c>
      <c r="I17" s="78" t="s">
        <v>225</v>
      </c>
      <c r="J17" s="78" t="s">
        <v>247</v>
      </c>
      <c r="K17" s="80" t="s">
        <v>188</v>
      </c>
      <c r="L17" s="81">
        <v>6</v>
      </c>
      <c r="M17" s="80">
        <f t="shared" si="1"/>
        <v>6000</v>
      </c>
      <c r="N17" s="78">
        <v>6100</v>
      </c>
      <c r="O17" s="82" t="s">
        <v>223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24.75" thickBot="1" x14ac:dyDescent="0.3">
      <c r="A18" s="63"/>
      <c r="B18" s="37">
        <f t="shared" si="0"/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8">
        <f t="shared" si="1"/>
        <v>11000</v>
      </c>
      <c r="N18" s="61">
        <v>11100</v>
      </c>
      <c r="O18" s="69" t="s">
        <v>223</v>
      </c>
      <c r="P18" s="70">
        <v>2.3800000000000002E-2</v>
      </c>
      <c r="Q18" s="70">
        <f>P18*N18</f>
        <v>264.18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59</v>
      </c>
      <c r="F19" s="78" t="s">
        <v>93</v>
      </c>
      <c r="G19" s="79" t="s">
        <v>130</v>
      </c>
      <c r="H19" s="78" t="s">
        <v>152</v>
      </c>
      <c r="I19" s="78" t="s">
        <v>225</v>
      </c>
      <c r="J19" s="78" t="s">
        <v>172</v>
      </c>
      <c r="K19" s="80" t="s">
        <v>190</v>
      </c>
      <c r="L19" s="81">
        <v>4</v>
      </c>
      <c r="M19" s="80">
        <f t="shared" si="1"/>
        <v>4000</v>
      </c>
      <c r="N19" s="78">
        <v>4100</v>
      </c>
      <c r="O19" s="82" t="s">
        <v>223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8">
        <f t="shared" si="1"/>
        <v>1000</v>
      </c>
      <c r="N20" s="61">
        <v>1100</v>
      </c>
      <c r="O20" s="69" t="s">
        <v>223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62</v>
      </c>
      <c r="F21" s="78" t="s">
        <v>93</v>
      </c>
      <c r="G21" s="79" t="s">
        <v>133</v>
      </c>
      <c r="H21" s="78" t="s">
        <v>152</v>
      </c>
      <c r="I21" s="78" t="s">
        <v>225</v>
      </c>
      <c r="J21" s="78" t="s">
        <v>174</v>
      </c>
      <c r="K21" s="80" t="s">
        <v>192</v>
      </c>
      <c r="L21" s="81">
        <v>8</v>
      </c>
      <c r="M21" s="80">
        <f t="shared" si="1"/>
        <v>8000</v>
      </c>
      <c r="N21" s="78">
        <v>8100</v>
      </c>
      <c r="O21" s="82" t="s">
        <v>223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8">
        <f t="shared" si="1"/>
        <v>8000</v>
      </c>
      <c r="N22" s="61">
        <v>8100</v>
      </c>
      <c r="O22" s="69" t="s">
        <v>223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64</v>
      </c>
      <c r="F23" s="78" t="s">
        <v>98</v>
      </c>
      <c r="G23" s="79" t="s">
        <v>136</v>
      </c>
      <c r="H23" s="78" t="s">
        <v>155</v>
      </c>
      <c r="I23" s="78" t="s">
        <v>225</v>
      </c>
      <c r="J23" s="78" t="s">
        <v>249</v>
      </c>
      <c r="K23" s="80" t="s">
        <v>189</v>
      </c>
      <c r="L23" s="81">
        <v>8</v>
      </c>
      <c r="M23" s="80">
        <f t="shared" si="1"/>
        <v>8000</v>
      </c>
      <c r="N23" s="78">
        <v>8050</v>
      </c>
      <c r="O23" s="82" t="s">
        <v>223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36.75" thickBot="1" x14ac:dyDescent="0.3">
      <c r="A24" s="63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58">
        <f t="shared" si="1"/>
        <v>1000</v>
      </c>
      <c r="N24" s="45">
        <v>1030</v>
      </c>
      <c r="O24" s="62" t="s">
        <v>223</v>
      </c>
      <c r="P24" s="47">
        <v>2.8899999999999999E-2</v>
      </c>
      <c r="Q24" s="47">
        <f t="shared" ref="Q24:Q50" si="3">P24*N24</f>
        <v>29.766999999999999</v>
      </c>
      <c r="R24" s="46"/>
      <c r="S24" s="47"/>
    </row>
    <row r="25" spans="1:19" s="64" customFormat="1" ht="24.75" thickBot="1" x14ac:dyDescent="0.3">
      <c r="A25" s="63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8">
        <f t="shared" si="1"/>
        <v>1000</v>
      </c>
      <c r="N25" s="61">
        <v>1030</v>
      </c>
      <c r="O25" s="69" t="s">
        <v>223</v>
      </c>
      <c r="P25" s="70">
        <v>2.12E-2</v>
      </c>
      <c r="Q25" s="70">
        <f t="shared" si="3"/>
        <v>21.835999999999999</v>
      </c>
      <c r="R25" s="67"/>
      <c r="S25" s="70"/>
    </row>
    <row r="26" spans="1:19" s="64" customFormat="1" ht="15.75" thickBot="1" x14ac:dyDescent="0.3">
      <c r="A26" s="63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58">
        <f t="shared" si="1"/>
        <v>1000</v>
      </c>
      <c r="N26" s="45">
        <v>1040</v>
      </c>
      <c r="O26" s="62" t="s">
        <v>223</v>
      </c>
      <c r="P26" s="47">
        <v>1.6199999999999999E-2</v>
      </c>
      <c r="Q26" s="47">
        <f t="shared" si="3"/>
        <v>16.847999999999999</v>
      </c>
      <c r="R26" s="46"/>
      <c r="S26" s="47"/>
    </row>
    <row r="27" spans="1:19" s="64" customFormat="1" ht="36.75" thickBot="1" x14ac:dyDescent="0.3">
      <c r="A27" s="63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8">
        <f t="shared" si="1"/>
        <v>1000</v>
      </c>
      <c r="N27" s="61">
        <v>1020</v>
      </c>
      <c r="O27" s="69" t="s">
        <v>223</v>
      </c>
      <c r="P27" s="70">
        <v>3.2199999999999999E-2</v>
      </c>
      <c r="Q27" s="70">
        <f t="shared" si="3"/>
        <v>32.844000000000001</v>
      </c>
      <c r="R27" s="67"/>
      <c r="S27" s="70"/>
    </row>
    <row r="28" spans="1:19" s="64" customFormat="1" ht="24.75" thickBot="1" x14ac:dyDescent="0.3">
      <c r="A28" s="63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58">
        <f t="shared" si="1"/>
        <v>8000</v>
      </c>
      <c r="N28" s="45">
        <v>8100</v>
      </c>
      <c r="O28" s="62" t="s">
        <v>231</v>
      </c>
      <c r="P28" s="47">
        <v>1.8</v>
      </c>
      <c r="Q28" s="47">
        <f t="shared" si="3"/>
        <v>14580</v>
      </c>
      <c r="R28" s="46"/>
      <c r="S28" s="47"/>
    </row>
    <row r="29" spans="1:19" s="64" customFormat="1" ht="60.75" thickBot="1" x14ac:dyDescent="0.3">
      <c r="A29" s="63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8">
        <f t="shared" si="1"/>
        <v>4000</v>
      </c>
      <c r="N29" s="61">
        <v>4050</v>
      </c>
      <c r="O29" s="69" t="s">
        <v>231</v>
      </c>
      <c r="P29" s="70">
        <v>1.01</v>
      </c>
      <c r="Q29" s="70">
        <f t="shared" si="3"/>
        <v>4090.5</v>
      </c>
      <c r="R29" s="95" t="s">
        <v>270</v>
      </c>
      <c r="S29" s="70"/>
    </row>
    <row r="30" spans="1:19" s="64" customFormat="1" ht="24.75" thickBot="1" x14ac:dyDescent="0.3">
      <c r="A30" s="63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58">
        <f t="shared" si="1"/>
        <v>1000</v>
      </c>
      <c r="N30" s="45">
        <v>1040</v>
      </c>
      <c r="O30" s="62" t="s">
        <v>223</v>
      </c>
      <c r="P30" s="47">
        <v>1.8800000000000001E-2</v>
      </c>
      <c r="Q30" s="47">
        <f t="shared" si="3"/>
        <v>19.552</v>
      </c>
      <c r="R30" s="46"/>
      <c r="S30" s="47"/>
    </row>
    <row r="31" spans="1:19" s="64" customFormat="1" ht="24.75" thickBot="1" x14ac:dyDescent="0.3">
      <c r="A31" s="63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2">
        <f t="shared" si="1"/>
        <v>5000</v>
      </c>
      <c r="N31" s="91" t="s">
        <v>225</v>
      </c>
      <c r="O31" s="93" t="s">
        <v>225</v>
      </c>
      <c r="P31" s="94" t="s">
        <v>225</v>
      </c>
      <c r="Q31" s="94" t="s">
        <v>225</v>
      </c>
      <c r="R31" s="74" t="s">
        <v>268</v>
      </c>
      <c r="S31" s="94"/>
    </row>
    <row r="32" spans="1:19" s="64" customFormat="1" ht="15.75" thickBot="1" x14ac:dyDescent="0.3">
      <c r="A32" s="63"/>
      <c r="B32" s="37">
        <f t="shared" si="0"/>
        <v>23</v>
      </c>
      <c r="C32" s="52" t="s">
        <v>204</v>
      </c>
      <c r="D32" s="72" t="s">
        <v>32</v>
      </c>
      <c r="E32" s="45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59">
        <v>3</v>
      </c>
      <c r="M32" s="58">
        <f t="shared" si="1"/>
        <v>3000</v>
      </c>
      <c r="N32" s="45">
        <v>3100</v>
      </c>
      <c r="O32" s="82" t="s">
        <v>223</v>
      </c>
      <c r="P32" s="47">
        <v>6.9999999999999999E-4</v>
      </c>
      <c r="Q32" s="47">
        <f t="shared" si="3"/>
        <v>2.17</v>
      </c>
      <c r="R32" s="46"/>
      <c r="S32" s="47"/>
    </row>
    <row r="33" spans="1:19" ht="15.75" thickBot="1" x14ac:dyDescent="0.3">
      <c r="A33" s="1"/>
      <c r="B33" s="65">
        <f>ROW(B33) - ROW($B$9)</f>
        <v>24</v>
      </c>
      <c r="C33" s="54" t="s">
        <v>204</v>
      </c>
      <c r="D33" s="84" t="s">
        <v>33</v>
      </c>
      <c r="E33" s="85" t="s">
        <v>74</v>
      </c>
      <c r="F33" s="66" t="s">
        <v>108</v>
      </c>
      <c r="G33" s="85" t="s">
        <v>140</v>
      </c>
      <c r="H33" s="66" t="s">
        <v>152</v>
      </c>
      <c r="I33" s="66" t="s">
        <v>225</v>
      </c>
      <c r="J33" s="66" t="s">
        <v>250</v>
      </c>
      <c r="K33" s="86" t="s">
        <v>194</v>
      </c>
      <c r="L33" s="66">
        <v>8</v>
      </c>
      <c r="M33" s="86">
        <f t="shared" si="1"/>
        <v>8000</v>
      </c>
      <c r="N33" s="66">
        <v>8100</v>
      </c>
      <c r="O33" s="87" t="s">
        <v>223</v>
      </c>
      <c r="P33" s="88">
        <v>8.0000000000000004E-4</v>
      </c>
      <c r="Q33" s="88">
        <f t="shared" si="3"/>
        <v>6.48</v>
      </c>
      <c r="R33" s="85"/>
      <c r="S33" s="88"/>
    </row>
    <row r="34" spans="1:19" s="64" customFormat="1" ht="15.75" thickBot="1" x14ac:dyDescent="0.3">
      <c r="A34" s="63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58">
        <f t="shared" si="1"/>
        <v>3000</v>
      </c>
      <c r="N34" s="45">
        <v>3100</v>
      </c>
      <c r="O34" s="62" t="s">
        <v>223</v>
      </c>
      <c r="P34" s="47">
        <v>8.0000000000000004E-4</v>
      </c>
      <c r="Q34" s="47">
        <f t="shared" si="3"/>
        <v>2.48</v>
      </c>
      <c r="R34" s="46"/>
      <c r="S34" s="47"/>
    </row>
    <row r="35" spans="1:19" s="64" customFormat="1" ht="24.75" thickBot="1" x14ac:dyDescent="0.3">
      <c r="A35" s="63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8">
        <f t="shared" si="1"/>
        <v>10000</v>
      </c>
      <c r="N35" s="61">
        <v>10100</v>
      </c>
      <c r="O35" s="69" t="s">
        <v>223</v>
      </c>
      <c r="P35" s="70">
        <v>5.0000000000000001E-4</v>
      </c>
      <c r="Q35" s="70">
        <f t="shared" si="3"/>
        <v>5.05</v>
      </c>
      <c r="R35" s="67"/>
      <c r="S35" s="70"/>
    </row>
    <row r="36" spans="1:19" s="64" customFormat="1" ht="24.75" thickBot="1" x14ac:dyDescent="0.3">
      <c r="A36" s="63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58">
        <f t="shared" si="1"/>
        <v>2000</v>
      </c>
      <c r="N36" s="45">
        <v>2100</v>
      </c>
      <c r="O36" s="62" t="s">
        <v>223</v>
      </c>
      <c r="P36" s="47">
        <v>8.0000000000000004E-4</v>
      </c>
      <c r="Q36" s="47">
        <f t="shared" si="3"/>
        <v>1.6800000000000002</v>
      </c>
      <c r="R36" s="46"/>
      <c r="S36" s="47"/>
    </row>
    <row r="37" spans="1:19" s="64" customFormat="1" ht="24.75" thickBot="1" x14ac:dyDescent="0.3">
      <c r="A37" s="63"/>
      <c r="B37" s="37">
        <f>ROW(B37) - ROW($B$9)</f>
        <v>28</v>
      </c>
      <c r="C37" s="53" t="s">
        <v>204</v>
      </c>
      <c r="D37" s="71" t="s">
        <v>266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16</v>
      </c>
      <c r="M37" s="68">
        <f t="shared" si="1"/>
        <v>16000</v>
      </c>
      <c r="N37" s="61">
        <v>16100</v>
      </c>
      <c r="O37" s="69" t="s">
        <v>223</v>
      </c>
      <c r="P37" s="70">
        <v>4.0000000000000002E-4</v>
      </c>
      <c r="Q37" s="70">
        <f t="shared" si="3"/>
        <v>6.44</v>
      </c>
      <c r="R37" s="67"/>
      <c r="S37" s="70"/>
    </row>
    <row r="38" spans="1:19" s="64" customFormat="1" ht="15.75" thickBot="1" x14ac:dyDescent="0.3">
      <c r="A38" s="63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58">
        <f t="shared" si="1"/>
        <v>4000</v>
      </c>
      <c r="N38" s="45">
        <v>4100</v>
      </c>
      <c r="O38" s="62" t="s">
        <v>223</v>
      </c>
      <c r="P38" s="47">
        <v>1.1000000000000001E-3</v>
      </c>
      <c r="Q38" s="47">
        <f t="shared" si="3"/>
        <v>4.5100000000000007</v>
      </c>
      <c r="R38" s="46"/>
      <c r="S38" s="47"/>
    </row>
    <row r="39" spans="1:19" s="64" customFormat="1" ht="180.75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106000</v>
      </c>
      <c r="N39" s="91" t="s">
        <v>225</v>
      </c>
      <c r="O39" s="93" t="s">
        <v>225</v>
      </c>
      <c r="P39" s="94" t="s">
        <v>225</v>
      </c>
      <c r="Q39" s="94" t="s">
        <v>225</v>
      </c>
      <c r="R39" s="74" t="s">
        <v>268</v>
      </c>
      <c r="S39" s="94"/>
    </row>
    <row r="40" spans="1:19" s="64" customFormat="1" ht="36.75" thickBot="1" x14ac:dyDescent="0.3">
      <c r="A40" s="63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225</v>
      </c>
      <c r="K40" s="58" t="s">
        <v>225</v>
      </c>
      <c r="L40" s="59">
        <v>1</v>
      </c>
      <c r="M40" s="58">
        <f t="shared" si="1"/>
        <v>1000</v>
      </c>
      <c r="N40" s="45">
        <v>1050</v>
      </c>
      <c r="O40" s="62" t="s">
        <v>231</v>
      </c>
      <c r="P40" s="47">
        <v>3.7999999999999999E-2</v>
      </c>
      <c r="Q40" s="47">
        <f t="shared" si="3"/>
        <v>39.9</v>
      </c>
      <c r="R40" s="89" t="s">
        <v>267</v>
      </c>
      <c r="S40" s="47"/>
    </row>
    <row r="41" spans="1:19" s="64" customFormat="1" ht="24.75" thickBot="1" x14ac:dyDescent="0.3">
      <c r="A41" s="63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225</v>
      </c>
      <c r="K41" s="68" t="s">
        <v>225</v>
      </c>
      <c r="L41" s="61">
        <v>1</v>
      </c>
      <c r="M41" s="68">
        <f t="shared" si="1"/>
        <v>1000</v>
      </c>
      <c r="N41" s="61">
        <v>1020</v>
      </c>
      <c r="O41" s="69" t="s">
        <v>231</v>
      </c>
      <c r="P41" s="70">
        <v>3.3</v>
      </c>
      <c r="Q41" s="70">
        <f t="shared" si="3"/>
        <v>3366</v>
      </c>
      <c r="R41" s="95" t="s">
        <v>267</v>
      </c>
      <c r="S41" s="70"/>
    </row>
    <row r="42" spans="1:19" s="64" customFormat="1" ht="24.75" thickBot="1" x14ac:dyDescent="0.3">
      <c r="A42" s="63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 t="s">
        <v>225</v>
      </c>
      <c r="J42" s="45" t="s">
        <v>225</v>
      </c>
      <c r="K42" s="58" t="s">
        <v>225</v>
      </c>
      <c r="L42" s="59">
        <v>8</v>
      </c>
      <c r="M42" s="58">
        <f t="shared" si="1"/>
        <v>8000</v>
      </c>
      <c r="N42" s="45">
        <v>8020</v>
      </c>
      <c r="O42" s="62" t="s">
        <v>231</v>
      </c>
      <c r="P42" s="47">
        <v>2.206</v>
      </c>
      <c r="Q42" s="47">
        <f t="shared" si="3"/>
        <v>17692.12</v>
      </c>
      <c r="R42" s="96" t="s">
        <v>271</v>
      </c>
      <c r="S42" s="47"/>
    </row>
    <row r="43" spans="1:19" s="64" customFormat="1" ht="36.75" thickBot="1" x14ac:dyDescent="0.3">
      <c r="A43" s="63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8">
        <f t="shared" si="1"/>
        <v>1000</v>
      </c>
      <c r="N43" s="61">
        <v>1020</v>
      </c>
      <c r="O43" s="69" t="s">
        <v>223</v>
      </c>
      <c r="P43" s="70">
        <v>0.29759999999999998</v>
      </c>
      <c r="Q43" s="70">
        <f t="shared" si="3"/>
        <v>303.55199999999996</v>
      </c>
      <c r="R43" s="67"/>
      <c r="S43" s="70"/>
    </row>
    <row r="44" spans="1:19" s="64" customFormat="1" ht="24.75" thickBot="1" x14ac:dyDescent="0.3">
      <c r="A44" s="63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58">
        <f t="shared" si="1"/>
        <v>1000</v>
      </c>
      <c r="N44" s="45">
        <v>1020</v>
      </c>
      <c r="O44" s="62" t="s">
        <v>231</v>
      </c>
      <c r="P44" s="47">
        <v>8.3000000000000007</v>
      </c>
      <c r="Q44" s="47">
        <f t="shared" si="3"/>
        <v>8466</v>
      </c>
      <c r="R44" s="89" t="s">
        <v>267</v>
      </c>
      <c r="S44" s="47"/>
    </row>
    <row r="45" spans="1:19" s="64" customFormat="1" ht="24.75" thickBot="1" x14ac:dyDescent="0.3">
      <c r="A45" s="63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8">
        <f t="shared" si="1"/>
        <v>2000</v>
      </c>
      <c r="N45" s="61">
        <v>2020</v>
      </c>
      <c r="O45" s="69" t="s">
        <v>223</v>
      </c>
      <c r="P45" s="70">
        <v>2.6084000000000001</v>
      </c>
      <c r="Q45" s="70">
        <f t="shared" si="3"/>
        <v>5268.9679999999998</v>
      </c>
      <c r="R45" s="67"/>
      <c r="S45" s="70"/>
    </row>
    <row r="46" spans="1:19" s="64" customFormat="1" ht="36.75" thickBot="1" x14ac:dyDescent="0.3">
      <c r="A46" s="63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46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58">
        <f t="shared" si="1"/>
        <v>1000</v>
      </c>
      <c r="N46" s="45">
        <v>1020</v>
      </c>
      <c r="O46" s="62" t="s">
        <v>231</v>
      </c>
      <c r="P46" s="47">
        <v>9.1999999999999998E-2</v>
      </c>
      <c r="Q46" s="47">
        <f t="shared" si="3"/>
        <v>93.84</v>
      </c>
      <c r="R46" s="89" t="s">
        <v>267</v>
      </c>
      <c r="S46" s="47"/>
    </row>
    <row r="47" spans="1:19" s="64" customFormat="1" ht="24.75" thickBot="1" x14ac:dyDescent="0.3">
      <c r="A47" s="63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8">
        <f t="shared" si="1"/>
        <v>1000</v>
      </c>
      <c r="N47" s="61">
        <v>1020</v>
      </c>
      <c r="O47" s="69" t="s">
        <v>231</v>
      </c>
      <c r="P47" s="70">
        <v>4.8</v>
      </c>
      <c r="Q47" s="70">
        <f t="shared" si="3"/>
        <v>4896</v>
      </c>
      <c r="R47" s="95" t="s">
        <v>267</v>
      </c>
      <c r="S47" s="70"/>
    </row>
    <row r="48" spans="1:19" s="64" customFormat="1" ht="24.75" thickBot="1" x14ac:dyDescent="0.3">
      <c r="A48" s="63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58">
        <f t="shared" si="1"/>
        <v>4000</v>
      </c>
      <c r="N48" s="45">
        <v>4020</v>
      </c>
      <c r="O48" s="62" t="s">
        <v>231</v>
      </c>
      <c r="P48" s="47">
        <v>1.9</v>
      </c>
      <c r="Q48" s="47">
        <f t="shared" si="3"/>
        <v>7638</v>
      </c>
      <c r="R48" s="96" t="s">
        <v>271</v>
      </c>
      <c r="S48" s="47"/>
    </row>
    <row r="49" spans="1:19" s="64" customFormat="1" ht="48.75" thickBot="1" x14ac:dyDescent="0.3">
      <c r="A49" s="63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8">
        <f t="shared" si="1"/>
        <v>1000</v>
      </c>
      <c r="N49" s="61">
        <v>1020</v>
      </c>
      <c r="O49" s="69" t="s">
        <v>223</v>
      </c>
      <c r="P49" s="70">
        <v>0.10050000000000001</v>
      </c>
      <c r="Q49" s="70">
        <f t="shared" si="3"/>
        <v>102.51</v>
      </c>
      <c r="R49" s="67"/>
      <c r="S49" s="70"/>
    </row>
    <row r="50" spans="1:19" s="64" customFormat="1" ht="48.75" thickBot="1" x14ac:dyDescent="0.3">
      <c r="A50" s="63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58">
        <f t="shared" si="1"/>
        <v>2000</v>
      </c>
      <c r="N50" s="45">
        <v>2020</v>
      </c>
      <c r="O50" s="62" t="s">
        <v>223</v>
      </c>
      <c r="P50" s="47">
        <v>4.0500000000000001E-2</v>
      </c>
      <c r="Q50" s="47">
        <f t="shared" si="3"/>
        <v>81.81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8" t="s">
        <v>217</v>
      </c>
      <c r="O51" s="109"/>
      <c r="P51" s="109"/>
      <c r="Q51" s="56">
        <f>SUM(Q10:Q50)</f>
        <v>70390.64899999999</v>
      </c>
      <c r="R51" s="110"/>
      <c r="S51" s="111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8" t="s">
        <v>218</v>
      </c>
      <c r="O52" s="109"/>
      <c r="P52" s="109"/>
      <c r="Q52" s="57">
        <f>Q51/1000</f>
        <v>70.390648999999996</v>
      </c>
      <c r="R52" s="112"/>
      <c r="S52" s="113"/>
    </row>
  </sheetData>
  <mergeCells count="5">
    <mergeCell ref="K1:S1"/>
    <mergeCell ref="S3:S8"/>
    <mergeCell ref="N51:P51"/>
    <mergeCell ref="R51:S52"/>
    <mergeCell ref="N52:P52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4:O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/>
    <hyperlink ref="O24" r:id="rId2"/>
    <hyperlink ref="O25" r:id="rId3"/>
    <hyperlink ref="O27" r:id="rId4"/>
    <hyperlink ref="O30" r:id="rId5"/>
    <hyperlink ref="O45" r:id="rId6"/>
    <hyperlink ref="O32" r:id="rId7"/>
    <hyperlink ref="O36" r:id="rId8"/>
    <hyperlink ref="O10" r:id="rId9"/>
    <hyperlink ref="O11" r:id="rId10"/>
    <hyperlink ref="O13" r:id="rId11"/>
    <hyperlink ref="O16" r:id="rId12"/>
    <hyperlink ref="O17" r:id="rId13"/>
    <hyperlink ref="O19" r:id="rId14"/>
    <hyperlink ref="O12" r:id="rId15"/>
    <hyperlink ref="O20" r:id="rId16"/>
    <hyperlink ref="O21" r:id="rId17"/>
    <hyperlink ref="O22" r:id="rId18"/>
    <hyperlink ref="O23" r:id="rId19"/>
    <hyperlink ref="O26" r:id="rId20"/>
    <hyperlink ref="O33" r:id="rId21"/>
    <hyperlink ref="O34" r:id="rId22"/>
    <hyperlink ref="O35" r:id="rId23"/>
    <hyperlink ref="O37" r:id="rId24"/>
    <hyperlink ref="O38" r:id="rId25"/>
    <hyperlink ref="O43" r:id="rId26"/>
    <hyperlink ref="O49" r:id="rId27"/>
    <hyperlink ref="O50" r:id="rId28"/>
    <hyperlink ref="O15" r:id="rId29"/>
    <hyperlink ref="O18" r:id="rId30"/>
  </hyperlinks>
  <pageMargins left="0.7" right="0.7" top="0.75" bottom="0.75" header="0.3" footer="0.3"/>
  <pageSetup orientation="portrait" r:id="rId31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O24:O25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O46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2"/>
  <sheetViews>
    <sheetView workbookViewId="0">
      <selection activeCell="G55" sqref="G55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4"/>
      <c r="L1" s="104"/>
      <c r="M1" s="104"/>
      <c r="N1" s="104"/>
      <c r="O1" s="104"/>
      <c r="P1" s="104"/>
      <c r="Q1" s="104"/>
      <c r="R1" s="104"/>
      <c r="S1" s="105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6"/>
    </row>
    <row r="4" spans="1:19" x14ac:dyDescent="0.25">
      <c r="A4" s="1"/>
      <c r="B4" s="22"/>
      <c r="C4" s="39"/>
      <c r="D4" s="13" t="s">
        <v>2</v>
      </c>
      <c r="E4" s="13"/>
      <c r="F4" s="50" t="s">
        <v>254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7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7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7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7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7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50</v>
      </c>
      <c r="F9" s="31" t="s">
        <v>92</v>
      </c>
      <c r="G9" s="30" t="s">
        <v>122</v>
      </c>
      <c r="H9" s="31" t="s">
        <v>151</v>
      </c>
      <c r="I9" s="30" t="s">
        <v>208</v>
      </c>
      <c r="J9" s="31" t="s">
        <v>169</v>
      </c>
      <c r="K9" s="30" t="s">
        <v>209</v>
      </c>
      <c r="L9" s="31" t="s">
        <v>200</v>
      </c>
      <c r="M9" s="30" t="s">
        <v>210</v>
      </c>
      <c r="N9" s="31" t="s">
        <v>211</v>
      </c>
      <c r="O9" s="30" t="s">
        <v>212</v>
      </c>
      <c r="P9" s="31" t="s">
        <v>213</v>
      </c>
      <c r="Q9" s="30" t="s">
        <v>214</v>
      </c>
      <c r="R9" s="30" t="s">
        <v>215</v>
      </c>
      <c r="S9" s="30" t="s">
        <v>216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51</v>
      </c>
      <c r="F10" s="61" t="s">
        <v>93</v>
      </c>
      <c r="G10" s="67" t="s">
        <v>123</v>
      </c>
      <c r="H10" s="61" t="s">
        <v>152</v>
      </c>
      <c r="I10" s="61" t="s">
        <v>225</v>
      </c>
      <c r="J10" s="61" t="s">
        <v>170</v>
      </c>
      <c r="K10" s="68" t="s">
        <v>181</v>
      </c>
      <c r="L10" s="61">
        <v>20</v>
      </c>
      <c r="M10" s="61">
        <f>L10*5000</f>
        <v>100000</v>
      </c>
      <c r="N10" s="61">
        <v>100100</v>
      </c>
      <c r="O10" s="69" t="s">
        <v>223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49" si="0">ROW(B11) - ROW($B$9)</f>
        <v>2</v>
      </c>
      <c r="C11" s="52" t="s">
        <v>7</v>
      </c>
      <c r="D11" s="72" t="s">
        <v>14</v>
      </c>
      <c r="E11" s="45" t="s">
        <v>52</v>
      </c>
      <c r="F11" s="45" t="s">
        <v>94</v>
      </c>
      <c r="G11" s="46" t="s">
        <v>124</v>
      </c>
      <c r="H11" s="45" t="s">
        <v>153</v>
      </c>
      <c r="I11" s="45" t="s">
        <v>225</v>
      </c>
      <c r="J11" s="45" t="s">
        <v>244</v>
      </c>
      <c r="K11" s="58" t="s">
        <v>182</v>
      </c>
      <c r="L11" s="59">
        <v>1</v>
      </c>
      <c r="M11" s="58">
        <f t="shared" ref="M11:M50" si="1">L11*5000</f>
        <v>5000</v>
      </c>
      <c r="N11" s="45">
        <v>5060</v>
      </c>
      <c r="O11" s="62" t="s">
        <v>223</v>
      </c>
      <c r="P11" s="47">
        <v>1.09E-2</v>
      </c>
      <c r="Q11" s="47">
        <f t="shared" ref="Q11:Q23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260</v>
      </c>
      <c r="E12" s="67" t="s">
        <v>60</v>
      </c>
      <c r="F12" s="61" t="s">
        <v>97</v>
      </c>
      <c r="G12" s="67" t="s">
        <v>131</v>
      </c>
      <c r="H12" s="61" t="s">
        <v>152</v>
      </c>
      <c r="I12" s="61" t="s">
        <v>225</v>
      </c>
      <c r="J12" s="61" t="s">
        <v>173</v>
      </c>
      <c r="K12" s="68" t="s">
        <v>183</v>
      </c>
      <c r="L12" s="61">
        <v>43</v>
      </c>
      <c r="M12" s="68">
        <f t="shared" si="1"/>
        <v>215000</v>
      </c>
      <c r="N12" s="61">
        <v>215100</v>
      </c>
      <c r="O12" s="69" t="s">
        <v>223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53</v>
      </c>
      <c r="F13" s="45" t="s">
        <v>95</v>
      </c>
      <c r="G13" s="46" t="s">
        <v>125</v>
      </c>
      <c r="H13" s="45" t="s">
        <v>152</v>
      </c>
      <c r="I13" s="45" t="s">
        <v>225</v>
      </c>
      <c r="J13" s="45" t="s">
        <v>245</v>
      </c>
      <c r="K13" s="58" t="s">
        <v>184</v>
      </c>
      <c r="L13" s="59">
        <v>12</v>
      </c>
      <c r="M13" s="58">
        <f t="shared" si="1"/>
        <v>60000</v>
      </c>
      <c r="N13" s="45">
        <v>60100</v>
      </c>
      <c r="O13" s="62" t="s">
        <v>223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54</v>
      </c>
      <c r="F14" s="66" t="s">
        <v>96</v>
      </c>
      <c r="G14" s="85" t="s">
        <v>126</v>
      </c>
      <c r="H14" s="66" t="s">
        <v>154</v>
      </c>
      <c r="I14" s="66" t="s">
        <v>225</v>
      </c>
      <c r="J14" s="66" t="s">
        <v>171</v>
      </c>
      <c r="K14" s="86" t="s">
        <v>185</v>
      </c>
      <c r="L14" s="66">
        <v>2</v>
      </c>
      <c r="M14" s="86">
        <f t="shared" si="1"/>
        <v>10000</v>
      </c>
      <c r="N14" s="66">
        <v>10100</v>
      </c>
      <c r="O14" s="87" t="s">
        <v>223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261</v>
      </c>
      <c r="E15" s="45" t="s">
        <v>55</v>
      </c>
      <c r="F15" s="45" t="s">
        <v>93</v>
      </c>
      <c r="G15" s="73" t="s">
        <v>127</v>
      </c>
      <c r="H15" s="45" t="s">
        <v>152</v>
      </c>
      <c r="I15" s="45" t="s">
        <v>262</v>
      </c>
      <c r="J15" s="45" t="s">
        <v>263</v>
      </c>
      <c r="K15" s="58" t="s">
        <v>186</v>
      </c>
      <c r="L15" s="59">
        <v>16</v>
      </c>
      <c r="M15" s="58">
        <f t="shared" si="1"/>
        <v>80000</v>
      </c>
      <c r="N15" s="45">
        <v>80100</v>
      </c>
      <c r="O15" s="62" t="s">
        <v>223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56</v>
      </c>
      <c r="F16" s="61" t="s">
        <v>94</v>
      </c>
      <c r="G16" s="67" t="s">
        <v>128</v>
      </c>
      <c r="H16" s="61" t="s">
        <v>155</v>
      </c>
      <c r="I16" s="61" t="s">
        <v>225</v>
      </c>
      <c r="J16" s="61" t="s">
        <v>246</v>
      </c>
      <c r="K16" s="68" t="s">
        <v>187</v>
      </c>
      <c r="L16" s="61">
        <v>1</v>
      </c>
      <c r="M16" s="68">
        <f t="shared" si="1"/>
        <v>5000</v>
      </c>
      <c r="N16" s="61">
        <v>5010</v>
      </c>
      <c r="O16" s="69" t="s">
        <v>223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57</v>
      </c>
      <c r="F17" s="78" t="s">
        <v>94</v>
      </c>
      <c r="G17" s="79" t="s">
        <v>129</v>
      </c>
      <c r="H17" s="78" t="s">
        <v>152</v>
      </c>
      <c r="I17" s="78" t="s">
        <v>225</v>
      </c>
      <c r="J17" s="78" t="s">
        <v>247</v>
      </c>
      <c r="K17" s="80" t="s">
        <v>188</v>
      </c>
      <c r="L17" s="81">
        <v>6</v>
      </c>
      <c r="M17" s="80">
        <f t="shared" si="1"/>
        <v>30000</v>
      </c>
      <c r="N17" s="78">
        <v>30100</v>
      </c>
      <c r="O17" s="82" t="s">
        <v>223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24.75" thickBot="1" x14ac:dyDescent="0.3">
      <c r="A18" s="63"/>
      <c r="B18" s="37">
        <f>ROW(B18) - ROW($B$9)</f>
        <v>9</v>
      </c>
      <c r="C18" s="53" t="s">
        <v>7</v>
      </c>
      <c r="D18" s="71" t="s">
        <v>277</v>
      </c>
      <c r="E18" s="67" t="s">
        <v>58</v>
      </c>
      <c r="F18" s="61" t="s">
        <v>93</v>
      </c>
      <c r="G18" s="74" t="s">
        <v>134</v>
      </c>
      <c r="H18" s="61" t="s">
        <v>156</v>
      </c>
      <c r="I18" s="61" t="s">
        <v>264</v>
      </c>
      <c r="J18" s="61" t="s">
        <v>265</v>
      </c>
      <c r="K18" s="68" t="s">
        <v>189</v>
      </c>
      <c r="L18" s="61">
        <v>11</v>
      </c>
      <c r="M18" s="68">
        <f t="shared" si="1"/>
        <v>55000</v>
      </c>
      <c r="N18" s="61">
        <v>55100</v>
      </c>
      <c r="O18" s="69" t="s">
        <v>223</v>
      </c>
      <c r="P18" s="70">
        <v>2.3800000000000002E-2</v>
      </c>
      <c r="Q18" s="70">
        <f>P18*N18</f>
        <v>1311.38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59</v>
      </c>
      <c r="F19" s="78" t="s">
        <v>93</v>
      </c>
      <c r="G19" s="79" t="s">
        <v>130</v>
      </c>
      <c r="H19" s="78" t="s">
        <v>152</v>
      </c>
      <c r="I19" s="78" t="s">
        <v>225</v>
      </c>
      <c r="J19" s="78" t="s">
        <v>172</v>
      </c>
      <c r="K19" s="80" t="s">
        <v>190</v>
      </c>
      <c r="L19" s="81">
        <v>4</v>
      </c>
      <c r="M19" s="80">
        <f t="shared" si="1"/>
        <v>20000</v>
      </c>
      <c r="N19" s="78">
        <v>20100</v>
      </c>
      <c r="O19" s="82" t="s">
        <v>223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61</v>
      </c>
      <c r="F20" s="61" t="s">
        <v>94</v>
      </c>
      <c r="G20" s="67" t="s">
        <v>132</v>
      </c>
      <c r="H20" s="61" t="s">
        <v>152</v>
      </c>
      <c r="I20" s="61" t="s">
        <v>225</v>
      </c>
      <c r="J20" s="61" t="s">
        <v>248</v>
      </c>
      <c r="K20" s="68" t="s">
        <v>191</v>
      </c>
      <c r="L20" s="61">
        <v>1</v>
      </c>
      <c r="M20" s="68">
        <f t="shared" si="1"/>
        <v>5000</v>
      </c>
      <c r="N20" s="61">
        <v>5100</v>
      </c>
      <c r="O20" s="69" t="s">
        <v>223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62</v>
      </c>
      <c r="F21" s="78" t="s">
        <v>93</v>
      </c>
      <c r="G21" s="79" t="s">
        <v>133</v>
      </c>
      <c r="H21" s="78" t="s">
        <v>152</v>
      </c>
      <c r="I21" s="78" t="s">
        <v>225</v>
      </c>
      <c r="J21" s="78" t="s">
        <v>174</v>
      </c>
      <c r="K21" s="80" t="s">
        <v>192</v>
      </c>
      <c r="L21" s="81">
        <v>8</v>
      </c>
      <c r="M21" s="80">
        <f t="shared" si="1"/>
        <v>40000</v>
      </c>
      <c r="N21" s="78">
        <v>40100</v>
      </c>
      <c r="O21" s="82" t="s">
        <v>223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63</v>
      </c>
      <c r="F22" s="61" t="s">
        <v>97</v>
      </c>
      <c r="G22" s="67" t="s">
        <v>135</v>
      </c>
      <c r="H22" s="61" t="s">
        <v>152</v>
      </c>
      <c r="I22" s="61" t="s">
        <v>225</v>
      </c>
      <c r="J22" s="61" t="s">
        <v>175</v>
      </c>
      <c r="K22" s="68" t="s">
        <v>186</v>
      </c>
      <c r="L22" s="61">
        <v>8</v>
      </c>
      <c r="M22" s="68">
        <f t="shared" si="1"/>
        <v>40000</v>
      </c>
      <c r="N22" s="61">
        <v>40100</v>
      </c>
      <c r="O22" s="69" t="s">
        <v>223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64</v>
      </c>
      <c r="F23" s="78" t="s">
        <v>98</v>
      </c>
      <c r="G23" s="79" t="s">
        <v>136</v>
      </c>
      <c r="H23" s="78" t="s">
        <v>155</v>
      </c>
      <c r="I23" s="78" t="s">
        <v>225</v>
      </c>
      <c r="J23" s="78" t="s">
        <v>249</v>
      </c>
      <c r="K23" s="80" t="s">
        <v>189</v>
      </c>
      <c r="L23" s="81">
        <v>8</v>
      </c>
      <c r="M23" s="80">
        <f t="shared" si="1"/>
        <v>40000</v>
      </c>
      <c r="N23" s="78">
        <v>40100</v>
      </c>
      <c r="O23" s="82" t="s">
        <v>223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24.75" thickBot="1" x14ac:dyDescent="0.3">
      <c r="A24" s="63"/>
      <c r="B24" s="37">
        <f t="shared" si="0"/>
        <v>15</v>
      </c>
      <c r="C24" s="52" t="s">
        <v>201</v>
      </c>
      <c r="D24" s="72" t="s">
        <v>24</v>
      </c>
      <c r="E24" s="45" t="s">
        <v>65</v>
      </c>
      <c r="F24" s="45" t="s">
        <v>224</v>
      </c>
      <c r="G24" s="46" t="s">
        <v>99</v>
      </c>
      <c r="H24" s="45" t="s">
        <v>157</v>
      </c>
      <c r="I24" s="45" t="s">
        <v>225</v>
      </c>
      <c r="J24" s="45" t="s">
        <v>226</v>
      </c>
      <c r="K24" s="58" t="s">
        <v>225</v>
      </c>
      <c r="L24" s="59">
        <v>1</v>
      </c>
      <c r="M24" s="58">
        <f t="shared" si="1"/>
        <v>5000</v>
      </c>
      <c r="N24" s="45">
        <v>5030</v>
      </c>
      <c r="O24" s="62" t="s">
        <v>223</v>
      </c>
      <c r="P24" s="47">
        <v>2.58E-2</v>
      </c>
      <c r="Q24" s="47">
        <f t="shared" ref="Q24:Q50" si="3">P24*N24</f>
        <v>129.774</v>
      </c>
      <c r="R24" s="46"/>
      <c r="S24" s="47"/>
    </row>
    <row r="25" spans="1:19" s="64" customFormat="1" ht="36.75" thickBot="1" x14ac:dyDescent="0.3">
      <c r="A25" s="63"/>
      <c r="B25" s="37">
        <f>ROW(B25) - ROW($B$9)</f>
        <v>16</v>
      </c>
      <c r="C25" s="53" t="s">
        <v>201</v>
      </c>
      <c r="D25" s="71" t="s">
        <v>25</v>
      </c>
      <c r="E25" s="67" t="s">
        <v>66</v>
      </c>
      <c r="F25" s="61" t="s">
        <v>100</v>
      </c>
      <c r="G25" s="67" t="s">
        <v>137</v>
      </c>
      <c r="H25" s="61" t="s">
        <v>158</v>
      </c>
      <c r="I25" s="61" t="s">
        <v>225</v>
      </c>
      <c r="J25" s="61" t="s">
        <v>227</v>
      </c>
      <c r="K25" s="68" t="s">
        <v>225</v>
      </c>
      <c r="L25" s="61">
        <v>1</v>
      </c>
      <c r="M25" s="68">
        <f t="shared" si="1"/>
        <v>5000</v>
      </c>
      <c r="N25" s="61">
        <v>5030</v>
      </c>
      <c r="O25" s="69" t="s">
        <v>223</v>
      </c>
      <c r="P25" s="70">
        <v>1.95E-2</v>
      </c>
      <c r="Q25" s="70">
        <f t="shared" si="3"/>
        <v>98.084999999999994</v>
      </c>
      <c r="R25" s="67"/>
      <c r="S25" s="70"/>
    </row>
    <row r="26" spans="1:19" s="64" customFormat="1" ht="15.75" thickBot="1" x14ac:dyDescent="0.3">
      <c r="A26" s="63"/>
      <c r="B26" s="37">
        <f t="shared" si="0"/>
        <v>17</v>
      </c>
      <c r="C26" s="52" t="s">
        <v>202</v>
      </c>
      <c r="D26" s="72" t="s">
        <v>26</v>
      </c>
      <c r="E26" s="45" t="s">
        <v>67</v>
      </c>
      <c r="F26" s="45" t="s">
        <v>101</v>
      </c>
      <c r="G26" s="73" t="s">
        <v>138</v>
      </c>
      <c r="H26" s="45" t="s">
        <v>159</v>
      </c>
      <c r="I26" s="45" t="s">
        <v>228</v>
      </c>
      <c r="J26" s="45" t="s">
        <v>229</v>
      </c>
      <c r="K26" s="58" t="s">
        <v>225</v>
      </c>
      <c r="L26" s="59">
        <v>1</v>
      </c>
      <c r="M26" s="58">
        <f t="shared" si="1"/>
        <v>5000</v>
      </c>
      <c r="N26" s="45">
        <v>5060</v>
      </c>
      <c r="O26" s="62" t="s">
        <v>223</v>
      </c>
      <c r="P26" s="47">
        <v>1.46E-2</v>
      </c>
      <c r="Q26" s="47">
        <f t="shared" si="3"/>
        <v>73.876000000000005</v>
      </c>
      <c r="R26" s="46"/>
      <c r="S26" s="47"/>
    </row>
    <row r="27" spans="1:19" s="64" customFormat="1" ht="36.75" thickBot="1" x14ac:dyDescent="0.3">
      <c r="A27" s="63"/>
      <c r="B27" s="37">
        <f>ROW(B27) - ROW($B$9)</f>
        <v>18</v>
      </c>
      <c r="C27" s="53" t="s">
        <v>8</v>
      </c>
      <c r="D27" s="71" t="s">
        <v>27</v>
      </c>
      <c r="E27" s="67" t="s">
        <v>68</v>
      </c>
      <c r="F27" s="61" t="s">
        <v>230</v>
      </c>
      <c r="G27" s="67" t="s">
        <v>102</v>
      </c>
      <c r="H27" s="61" t="s">
        <v>160</v>
      </c>
      <c r="I27" s="61" t="s">
        <v>225</v>
      </c>
      <c r="J27" s="61" t="s">
        <v>176</v>
      </c>
      <c r="K27" s="68" t="s">
        <v>225</v>
      </c>
      <c r="L27" s="61">
        <v>1</v>
      </c>
      <c r="M27" s="68">
        <f t="shared" si="1"/>
        <v>5000</v>
      </c>
      <c r="N27" s="61">
        <v>5060</v>
      </c>
      <c r="O27" s="69" t="s">
        <v>223</v>
      </c>
      <c r="P27" s="70">
        <v>2.9499999999999998E-2</v>
      </c>
      <c r="Q27" s="70">
        <f t="shared" si="3"/>
        <v>149.26999999999998</v>
      </c>
      <c r="R27" s="67"/>
      <c r="S27" s="70"/>
    </row>
    <row r="28" spans="1:19" s="64" customFormat="1" ht="30.75" thickBot="1" x14ac:dyDescent="0.3">
      <c r="A28" s="63"/>
      <c r="B28" s="37">
        <f t="shared" si="0"/>
        <v>19</v>
      </c>
      <c r="C28" s="52" t="s">
        <v>9</v>
      </c>
      <c r="D28" s="72" t="s">
        <v>28</v>
      </c>
      <c r="E28" s="45" t="s">
        <v>69</v>
      </c>
      <c r="F28" s="45" t="s">
        <v>230</v>
      </c>
      <c r="G28" s="46" t="s">
        <v>103</v>
      </c>
      <c r="H28" s="45" t="s">
        <v>161</v>
      </c>
      <c r="I28" s="45" t="s">
        <v>225</v>
      </c>
      <c r="J28" s="45" t="s">
        <v>225</v>
      </c>
      <c r="K28" s="58" t="s">
        <v>225</v>
      </c>
      <c r="L28" s="59">
        <v>8</v>
      </c>
      <c r="M28" s="58">
        <f t="shared" si="1"/>
        <v>40000</v>
      </c>
      <c r="N28" s="45">
        <v>40100</v>
      </c>
      <c r="O28" s="62" t="s">
        <v>231</v>
      </c>
      <c r="P28" s="47">
        <v>0.72</v>
      </c>
      <c r="Q28" s="47">
        <f t="shared" si="3"/>
        <v>28872</v>
      </c>
      <c r="R28" s="89" t="s">
        <v>272</v>
      </c>
      <c r="S28" s="47"/>
    </row>
    <row r="29" spans="1:19" s="64" customFormat="1" ht="60.75" thickBot="1" x14ac:dyDescent="0.3">
      <c r="A29" s="63"/>
      <c r="B29" s="37">
        <f>ROW(B29) - ROW($B$9)</f>
        <v>20</v>
      </c>
      <c r="C29" s="53" t="s">
        <v>9</v>
      </c>
      <c r="D29" s="71" t="s">
        <v>29</v>
      </c>
      <c r="E29" s="67" t="s">
        <v>70</v>
      </c>
      <c r="F29" s="61" t="s">
        <v>230</v>
      </c>
      <c r="G29" s="67" t="s">
        <v>104</v>
      </c>
      <c r="H29" s="61" t="s">
        <v>161</v>
      </c>
      <c r="I29" s="61" t="s">
        <v>225</v>
      </c>
      <c r="J29" s="61" t="s">
        <v>225</v>
      </c>
      <c r="K29" s="68" t="s">
        <v>225</v>
      </c>
      <c r="L29" s="61">
        <v>4</v>
      </c>
      <c r="M29" s="68">
        <f t="shared" si="1"/>
        <v>20000</v>
      </c>
      <c r="N29" s="61">
        <v>20100</v>
      </c>
      <c r="O29" s="69" t="s">
        <v>231</v>
      </c>
      <c r="P29" s="70">
        <v>1</v>
      </c>
      <c r="Q29" s="70">
        <f t="shared" si="3"/>
        <v>20100</v>
      </c>
      <c r="R29" s="97" t="s">
        <v>274</v>
      </c>
      <c r="S29" s="70"/>
    </row>
    <row r="30" spans="1:19" s="64" customFormat="1" ht="24.75" thickBot="1" x14ac:dyDescent="0.3">
      <c r="A30" s="63"/>
      <c r="B30" s="37">
        <f t="shared" si="0"/>
        <v>21</v>
      </c>
      <c r="C30" s="52" t="s">
        <v>202</v>
      </c>
      <c r="D30" s="72" t="s">
        <v>30</v>
      </c>
      <c r="E30" s="45" t="s">
        <v>71</v>
      </c>
      <c r="F30" s="45" t="s">
        <v>105</v>
      </c>
      <c r="G30" s="73">
        <v>61300611121</v>
      </c>
      <c r="H30" s="45" t="s">
        <v>162</v>
      </c>
      <c r="I30" s="45" t="s">
        <v>232</v>
      </c>
      <c r="J30" s="45" t="s">
        <v>232</v>
      </c>
      <c r="K30" s="58" t="s">
        <v>225</v>
      </c>
      <c r="L30" s="59">
        <v>1</v>
      </c>
      <c r="M30" s="58">
        <f t="shared" si="1"/>
        <v>5000</v>
      </c>
      <c r="N30" s="45">
        <v>5060</v>
      </c>
      <c r="O30" s="62" t="s">
        <v>223</v>
      </c>
      <c r="P30" s="47">
        <v>1.4999999999999999E-2</v>
      </c>
      <c r="Q30" s="47">
        <f t="shared" si="3"/>
        <v>75.899999999999991</v>
      </c>
      <c r="R30" s="46"/>
      <c r="S30" s="47"/>
    </row>
    <row r="31" spans="1:19" s="64" customFormat="1" ht="15.75" thickBot="1" x14ac:dyDescent="0.3">
      <c r="A31" s="63"/>
      <c r="B31" s="37">
        <f>ROW(B31) - ROW($B$9)</f>
        <v>22</v>
      </c>
      <c r="C31" s="53" t="s">
        <v>203</v>
      </c>
      <c r="D31" s="90" t="s">
        <v>31</v>
      </c>
      <c r="E31" s="74" t="s">
        <v>72</v>
      </c>
      <c r="F31" s="91" t="s">
        <v>230</v>
      </c>
      <c r="G31" s="74" t="s">
        <v>106</v>
      </c>
      <c r="H31" s="91" t="s">
        <v>225</v>
      </c>
      <c r="I31" s="91" t="s">
        <v>225</v>
      </c>
      <c r="J31" s="91" t="s">
        <v>225</v>
      </c>
      <c r="K31" s="92" t="s">
        <v>225</v>
      </c>
      <c r="L31" s="91">
        <v>5</v>
      </c>
      <c r="M31" s="92">
        <f t="shared" si="1"/>
        <v>25000</v>
      </c>
      <c r="N31" s="91"/>
      <c r="O31" s="93" t="s">
        <v>225</v>
      </c>
      <c r="P31" s="94"/>
      <c r="Q31" s="94" t="s">
        <v>225</v>
      </c>
      <c r="R31" s="74"/>
      <c r="S31" s="94"/>
    </row>
    <row r="32" spans="1:19" s="64" customFormat="1" ht="15.75" thickBot="1" x14ac:dyDescent="0.3">
      <c r="A32" s="63"/>
      <c r="B32" s="37">
        <f t="shared" si="0"/>
        <v>23</v>
      </c>
      <c r="C32" s="52" t="s">
        <v>204</v>
      </c>
      <c r="D32" s="72" t="s">
        <v>32</v>
      </c>
      <c r="E32" s="45" t="s">
        <v>73</v>
      </c>
      <c r="F32" s="78" t="s">
        <v>107</v>
      </c>
      <c r="G32" s="73" t="s">
        <v>139</v>
      </c>
      <c r="H32" s="78" t="s">
        <v>159</v>
      </c>
      <c r="I32" s="78" t="s">
        <v>238</v>
      </c>
      <c r="J32" s="78" t="s">
        <v>239</v>
      </c>
      <c r="K32" s="80" t="s">
        <v>193</v>
      </c>
      <c r="L32" s="59">
        <v>3</v>
      </c>
      <c r="M32" s="58">
        <f t="shared" si="1"/>
        <v>15000</v>
      </c>
      <c r="N32" s="45">
        <v>15100</v>
      </c>
      <c r="O32" s="82" t="s">
        <v>223</v>
      </c>
      <c r="P32" s="47">
        <v>6.9999999999999999E-4</v>
      </c>
      <c r="Q32" s="47">
        <f t="shared" si="3"/>
        <v>10.57</v>
      </c>
      <c r="R32" s="46"/>
      <c r="S32" s="47"/>
    </row>
    <row r="33" spans="1:19" s="64" customFormat="1" ht="15.75" thickBot="1" x14ac:dyDescent="0.3">
      <c r="A33" s="63"/>
      <c r="B33" s="37">
        <f>ROW(B33) - ROW($B$9)</f>
        <v>24</v>
      </c>
      <c r="C33" s="54" t="s">
        <v>204</v>
      </c>
      <c r="D33" s="84" t="s">
        <v>33</v>
      </c>
      <c r="E33" s="85" t="s">
        <v>74</v>
      </c>
      <c r="F33" s="66" t="s">
        <v>108</v>
      </c>
      <c r="G33" s="85" t="s">
        <v>140</v>
      </c>
      <c r="H33" s="66" t="s">
        <v>152</v>
      </c>
      <c r="I33" s="66" t="s">
        <v>225</v>
      </c>
      <c r="J33" s="66" t="s">
        <v>250</v>
      </c>
      <c r="K33" s="86" t="s">
        <v>194</v>
      </c>
      <c r="L33" s="66">
        <v>8</v>
      </c>
      <c r="M33" s="86">
        <f t="shared" si="1"/>
        <v>40000</v>
      </c>
      <c r="N33" s="66">
        <v>40100</v>
      </c>
      <c r="O33" s="87" t="s">
        <v>223</v>
      </c>
      <c r="P33" s="88">
        <v>6.9999999999999999E-4</v>
      </c>
      <c r="Q33" s="88">
        <f t="shared" si="3"/>
        <v>28.07</v>
      </c>
      <c r="R33" s="85"/>
      <c r="S33" s="88"/>
    </row>
    <row r="34" spans="1:19" s="64" customFormat="1" ht="15.75" thickBot="1" x14ac:dyDescent="0.3">
      <c r="A34" s="63"/>
      <c r="B34" s="37">
        <f t="shared" si="0"/>
        <v>25</v>
      </c>
      <c r="C34" s="52" t="s">
        <v>204</v>
      </c>
      <c r="D34" s="72" t="s">
        <v>34</v>
      </c>
      <c r="E34" s="45" t="s">
        <v>75</v>
      </c>
      <c r="F34" s="45" t="s">
        <v>107</v>
      </c>
      <c r="G34" s="46" t="s">
        <v>141</v>
      </c>
      <c r="H34" s="45" t="s">
        <v>152</v>
      </c>
      <c r="I34" s="45" t="s">
        <v>225</v>
      </c>
      <c r="J34" s="45" t="s">
        <v>242</v>
      </c>
      <c r="K34" s="58" t="s">
        <v>195</v>
      </c>
      <c r="L34" s="59">
        <v>3</v>
      </c>
      <c r="M34" s="58">
        <f t="shared" si="1"/>
        <v>15000</v>
      </c>
      <c r="N34" s="45">
        <v>15100</v>
      </c>
      <c r="O34" s="62" t="s">
        <v>223</v>
      </c>
      <c r="P34" s="47">
        <v>5.9999999999999995E-4</v>
      </c>
      <c r="Q34" s="47">
        <f t="shared" si="3"/>
        <v>9.0599999999999987</v>
      </c>
      <c r="R34" s="46"/>
      <c r="S34" s="47"/>
    </row>
    <row r="35" spans="1:19" s="64" customFormat="1" ht="24.75" thickBot="1" x14ac:dyDescent="0.3">
      <c r="A35" s="63"/>
      <c r="B35" s="37">
        <f>ROW(B35) - ROW($B$9)</f>
        <v>26</v>
      </c>
      <c r="C35" s="53" t="s">
        <v>204</v>
      </c>
      <c r="D35" s="71" t="s">
        <v>35</v>
      </c>
      <c r="E35" s="67" t="s">
        <v>76</v>
      </c>
      <c r="F35" s="61" t="s">
        <v>108</v>
      </c>
      <c r="G35" s="67" t="s">
        <v>142</v>
      </c>
      <c r="H35" s="61" t="s">
        <v>152</v>
      </c>
      <c r="I35" s="61" t="s">
        <v>225</v>
      </c>
      <c r="J35" s="61" t="s">
        <v>177</v>
      </c>
      <c r="K35" s="68" t="s">
        <v>196</v>
      </c>
      <c r="L35" s="61">
        <v>10</v>
      </c>
      <c r="M35" s="68">
        <f t="shared" si="1"/>
        <v>50000</v>
      </c>
      <c r="N35" s="61">
        <v>50100</v>
      </c>
      <c r="O35" s="69" t="s">
        <v>223</v>
      </c>
      <c r="P35" s="70">
        <v>5.0000000000000001E-4</v>
      </c>
      <c r="Q35" s="70">
        <f t="shared" si="3"/>
        <v>25.05</v>
      </c>
      <c r="R35" s="67"/>
      <c r="S35" s="70"/>
    </row>
    <row r="36" spans="1:19" s="64" customFormat="1" ht="15.75" thickBot="1" x14ac:dyDescent="0.3">
      <c r="A36" s="63"/>
      <c r="B36" s="37">
        <f t="shared" si="0"/>
        <v>27</v>
      </c>
      <c r="C36" s="52" t="s">
        <v>204</v>
      </c>
      <c r="D36" s="72" t="s">
        <v>36</v>
      </c>
      <c r="E36" s="45" t="s">
        <v>77</v>
      </c>
      <c r="F36" s="45" t="s">
        <v>107</v>
      </c>
      <c r="G36" s="46" t="s">
        <v>143</v>
      </c>
      <c r="H36" s="45" t="s">
        <v>152</v>
      </c>
      <c r="I36" s="45"/>
      <c r="J36" s="45" t="s">
        <v>243</v>
      </c>
      <c r="K36" s="58" t="s">
        <v>197</v>
      </c>
      <c r="L36" s="59">
        <v>2</v>
      </c>
      <c r="M36" s="58">
        <f t="shared" si="1"/>
        <v>10000</v>
      </c>
      <c r="N36" s="45">
        <v>10100</v>
      </c>
      <c r="O36" s="62" t="s">
        <v>223</v>
      </c>
      <c r="P36" s="47">
        <v>5.9999999999999995E-4</v>
      </c>
      <c r="Q36" s="47">
        <f t="shared" si="3"/>
        <v>6.06</v>
      </c>
      <c r="R36" s="46"/>
      <c r="S36" s="47"/>
    </row>
    <row r="37" spans="1:19" s="64" customFormat="1" ht="36.75" thickBot="1" x14ac:dyDescent="0.3">
      <c r="A37" s="63"/>
      <c r="B37" s="37">
        <f>ROW(B37) - ROW($B$9)</f>
        <v>28</v>
      </c>
      <c r="C37" s="53" t="s">
        <v>204</v>
      </c>
      <c r="D37" s="71" t="s">
        <v>266</v>
      </c>
      <c r="E37" s="67" t="s">
        <v>78</v>
      </c>
      <c r="F37" s="61" t="s">
        <v>109</v>
      </c>
      <c r="G37" s="67" t="s">
        <v>144</v>
      </c>
      <c r="H37" s="61" t="s">
        <v>152</v>
      </c>
      <c r="I37" s="61" t="s">
        <v>225</v>
      </c>
      <c r="J37" s="61" t="s">
        <v>178</v>
      </c>
      <c r="K37" s="68" t="s">
        <v>198</v>
      </c>
      <c r="L37" s="61">
        <v>16</v>
      </c>
      <c r="M37" s="68">
        <f t="shared" si="1"/>
        <v>80000</v>
      </c>
      <c r="N37" s="61">
        <v>80100</v>
      </c>
      <c r="O37" s="69" t="s">
        <v>223</v>
      </c>
      <c r="P37" s="70">
        <v>2.9999999999999997E-4</v>
      </c>
      <c r="Q37" s="70">
        <f t="shared" si="3"/>
        <v>24.029999999999998</v>
      </c>
      <c r="R37" s="67"/>
      <c r="S37" s="70"/>
    </row>
    <row r="38" spans="1:19" s="64" customFormat="1" ht="15.75" thickBot="1" x14ac:dyDescent="0.3">
      <c r="A38" s="63"/>
      <c r="B38" s="37">
        <f>ROW(B38) - ROW($B$9)</f>
        <v>29</v>
      </c>
      <c r="C38" s="52" t="s">
        <v>204</v>
      </c>
      <c r="D38" s="72" t="s">
        <v>37</v>
      </c>
      <c r="E38" s="45" t="s">
        <v>79</v>
      </c>
      <c r="F38" s="45" t="s">
        <v>108</v>
      </c>
      <c r="G38" s="46" t="s">
        <v>145</v>
      </c>
      <c r="H38" s="45" t="s">
        <v>152</v>
      </c>
      <c r="I38" s="45" t="s">
        <v>225</v>
      </c>
      <c r="J38" s="45" t="s">
        <v>251</v>
      </c>
      <c r="K38" s="58" t="s">
        <v>199</v>
      </c>
      <c r="L38" s="59">
        <v>4</v>
      </c>
      <c r="M38" s="58">
        <f t="shared" si="1"/>
        <v>20000</v>
      </c>
      <c r="N38" s="45">
        <v>20100</v>
      </c>
      <c r="O38" s="62" t="s">
        <v>223</v>
      </c>
      <c r="P38" s="47">
        <v>8.9999999999999998E-4</v>
      </c>
      <c r="Q38" s="47">
        <f t="shared" si="3"/>
        <v>18.09</v>
      </c>
      <c r="R38" s="46"/>
      <c r="S38" s="47"/>
    </row>
    <row r="39" spans="1:19" s="64" customFormat="1" ht="216.75" thickBot="1" x14ac:dyDescent="0.3">
      <c r="A39" s="63"/>
      <c r="B39" s="37">
        <f t="shared" si="0"/>
        <v>30</v>
      </c>
      <c r="C39" s="53" t="s">
        <v>205</v>
      </c>
      <c r="D39" s="90" t="s">
        <v>38</v>
      </c>
      <c r="E39" s="74" t="s">
        <v>80</v>
      </c>
      <c r="F39" s="91" t="s">
        <v>230</v>
      </c>
      <c r="G39" s="74" t="s">
        <v>110</v>
      </c>
      <c r="H39" s="91" t="s">
        <v>225</v>
      </c>
      <c r="I39" s="91" t="s">
        <v>225</v>
      </c>
      <c r="J39" s="91" t="s">
        <v>225</v>
      </c>
      <c r="K39" s="92" t="s">
        <v>225</v>
      </c>
      <c r="L39" s="91">
        <v>106</v>
      </c>
      <c r="M39" s="92">
        <f t="shared" si="1"/>
        <v>530000</v>
      </c>
      <c r="N39" s="91"/>
      <c r="O39" s="93" t="s">
        <v>225</v>
      </c>
      <c r="P39" s="94"/>
      <c r="Q39" s="94" t="s">
        <v>225</v>
      </c>
      <c r="R39" s="74"/>
      <c r="S39" s="94"/>
    </row>
    <row r="40" spans="1:19" s="64" customFormat="1" ht="36.75" thickBot="1" x14ac:dyDescent="0.3">
      <c r="A40" s="63"/>
      <c r="B40" s="37">
        <f>ROW(B40) - ROW($B$9)</f>
        <v>31</v>
      </c>
      <c r="C40" s="52" t="s">
        <v>206</v>
      </c>
      <c r="D40" s="72" t="s">
        <v>39</v>
      </c>
      <c r="E40" s="45" t="s">
        <v>81</v>
      </c>
      <c r="F40" s="45" t="s">
        <v>230</v>
      </c>
      <c r="G40" s="46" t="s">
        <v>111</v>
      </c>
      <c r="H40" s="45" t="s">
        <v>160</v>
      </c>
      <c r="I40" s="45" t="s">
        <v>225</v>
      </c>
      <c r="J40" s="45" t="s">
        <v>225</v>
      </c>
      <c r="K40" s="58" t="s">
        <v>225</v>
      </c>
      <c r="L40" s="59">
        <v>1</v>
      </c>
      <c r="M40" s="58">
        <f t="shared" si="1"/>
        <v>5000</v>
      </c>
      <c r="N40" s="45">
        <v>5050</v>
      </c>
      <c r="O40" s="62" t="s">
        <v>231</v>
      </c>
      <c r="P40" s="47">
        <v>2.1999999999999999E-2</v>
      </c>
      <c r="Q40" s="47">
        <f t="shared" si="3"/>
        <v>111.1</v>
      </c>
      <c r="R40" s="89" t="s">
        <v>272</v>
      </c>
      <c r="S40" s="47"/>
    </row>
    <row r="41" spans="1:19" s="64" customFormat="1" ht="30.75" thickBot="1" x14ac:dyDescent="0.3">
      <c r="A41" s="63"/>
      <c r="B41" s="37">
        <f t="shared" si="0"/>
        <v>32</v>
      </c>
      <c r="C41" s="53" t="s">
        <v>10</v>
      </c>
      <c r="D41" s="71" t="s">
        <v>40</v>
      </c>
      <c r="E41" s="67" t="s">
        <v>82</v>
      </c>
      <c r="F41" s="61" t="s">
        <v>230</v>
      </c>
      <c r="G41" s="67" t="s">
        <v>112</v>
      </c>
      <c r="H41" s="61" t="s">
        <v>163</v>
      </c>
      <c r="I41" s="61" t="s">
        <v>225</v>
      </c>
      <c r="J41" s="61" t="s">
        <v>179</v>
      </c>
      <c r="K41" s="68" t="s">
        <v>225</v>
      </c>
      <c r="L41" s="61">
        <v>1</v>
      </c>
      <c r="M41" s="68">
        <f t="shared" si="1"/>
        <v>5000</v>
      </c>
      <c r="N41" s="61">
        <v>5020</v>
      </c>
      <c r="O41" s="69" t="s">
        <v>231</v>
      </c>
      <c r="P41" s="70">
        <v>3.12</v>
      </c>
      <c r="Q41" s="70">
        <f t="shared" si="3"/>
        <v>15662.4</v>
      </c>
      <c r="R41" s="95" t="s">
        <v>272</v>
      </c>
      <c r="S41" s="70"/>
    </row>
    <row r="42" spans="1:19" s="64" customFormat="1" ht="30.75" thickBot="1" x14ac:dyDescent="0.3">
      <c r="A42" s="63"/>
      <c r="B42" s="37">
        <f>ROW(B42) - ROW($B$9)</f>
        <v>33</v>
      </c>
      <c r="C42" s="52" t="s">
        <v>11</v>
      </c>
      <c r="D42" s="72" t="s">
        <v>41</v>
      </c>
      <c r="E42" s="45" t="s">
        <v>83</v>
      </c>
      <c r="F42" s="45" t="s">
        <v>113</v>
      </c>
      <c r="G42" s="46" t="s">
        <v>146</v>
      </c>
      <c r="H42" s="45" t="s">
        <v>158</v>
      </c>
      <c r="I42" s="45" t="s">
        <v>225</v>
      </c>
      <c r="J42" s="45" t="s">
        <v>225</v>
      </c>
      <c r="K42" s="58" t="s">
        <v>225</v>
      </c>
      <c r="L42" s="59">
        <v>8</v>
      </c>
      <c r="M42" s="58">
        <f t="shared" si="1"/>
        <v>40000</v>
      </c>
      <c r="N42" s="45">
        <v>40100</v>
      </c>
      <c r="O42" s="62" t="s">
        <v>231</v>
      </c>
      <c r="P42" s="47">
        <v>2.206</v>
      </c>
      <c r="Q42" s="47">
        <f t="shared" si="3"/>
        <v>88460.599999999991</v>
      </c>
      <c r="R42" s="96" t="s">
        <v>273</v>
      </c>
      <c r="S42" s="47"/>
    </row>
    <row r="43" spans="1:19" s="64" customFormat="1" ht="36.75" thickBot="1" x14ac:dyDescent="0.3">
      <c r="A43" s="63"/>
      <c r="B43" s="37">
        <f t="shared" si="0"/>
        <v>34</v>
      </c>
      <c r="C43" s="53" t="s">
        <v>11</v>
      </c>
      <c r="D43" s="71" t="s">
        <v>42</v>
      </c>
      <c r="E43" s="67" t="s">
        <v>84</v>
      </c>
      <c r="F43" s="61" t="s">
        <v>114</v>
      </c>
      <c r="G43" s="67" t="s">
        <v>147</v>
      </c>
      <c r="H43" s="61" t="s">
        <v>164</v>
      </c>
      <c r="I43" s="61" t="s">
        <v>225</v>
      </c>
      <c r="J43" s="61" t="s">
        <v>252</v>
      </c>
      <c r="K43" s="68" t="s">
        <v>225</v>
      </c>
      <c r="L43" s="61">
        <v>1</v>
      </c>
      <c r="M43" s="68">
        <f t="shared" si="1"/>
        <v>5000</v>
      </c>
      <c r="N43" s="61">
        <v>5020</v>
      </c>
      <c r="O43" s="69" t="s">
        <v>223</v>
      </c>
      <c r="P43" s="70">
        <v>0.29759999999999998</v>
      </c>
      <c r="Q43" s="70">
        <f t="shared" si="3"/>
        <v>1493.9519999999998</v>
      </c>
      <c r="R43" s="67"/>
      <c r="S43" s="70"/>
    </row>
    <row r="44" spans="1:19" s="64" customFormat="1" ht="30.75" thickBot="1" x14ac:dyDescent="0.3">
      <c r="A44" s="63"/>
      <c r="B44" s="37">
        <f>ROW(B44) - ROW($B$9)</f>
        <v>35</v>
      </c>
      <c r="C44" s="52" t="s">
        <v>11</v>
      </c>
      <c r="D44" s="72" t="s">
        <v>43</v>
      </c>
      <c r="E44" s="45" t="s">
        <v>85</v>
      </c>
      <c r="F44" s="45" t="s">
        <v>115</v>
      </c>
      <c r="G44" s="46" t="s">
        <v>148</v>
      </c>
      <c r="H44" s="45" t="s">
        <v>158</v>
      </c>
      <c r="I44" s="45" t="s">
        <v>225</v>
      </c>
      <c r="J44" s="45" t="s">
        <v>225</v>
      </c>
      <c r="K44" s="58" t="s">
        <v>225</v>
      </c>
      <c r="L44" s="59">
        <v>1</v>
      </c>
      <c r="M44" s="58">
        <f t="shared" si="1"/>
        <v>5000</v>
      </c>
      <c r="N44" s="45">
        <v>5020</v>
      </c>
      <c r="O44" s="62" t="s">
        <v>231</v>
      </c>
      <c r="P44" s="47">
        <v>8.1199999999999992</v>
      </c>
      <c r="Q44" s="47">
        <f t="shared" si="3"/>
        <v>40762.399999999994</v>
      </c>
      <c r="R44" s="89"/>
      <c r="S44" s="47"/>
    </row>
    <row r="45" spans="1:19" s="64" customFormat="1" ht="24.75" thickBot="1" x14ac:dyDescent="0.3">
      <c r="A45" s="63"/>
      <c r="B45" s="37">
        <f t="shared" si="0"/>
        <v>36</v>
      </c>
      <c r="C45" s="53" t="s">
        <v>11</v>
      </c>
      <c r="D45" s="71" t="s">
        <v>44</v>
      </c>
      <c r="E45" s="67" t="s">
        <v>86</v>
      </c>
      <c r="F45" s="61" t="s">
        <v>240</v>
      </c>
      <c r="G45" s="67" t="s">
        <v>116</v>
      </c>
      <c r="H45" s="61" t="s">
        <v>158</v>
      </c>
      <c r="I45" s="61" t="s">
        <v>225</v>
      </c>
      <c r="J45" s="61" t="s">
        <v>233</v>
      </c>
      <c r="K45" s="68" t="s">
        <v>225</v>
      </c>
      <c r="L45" s="61">
        <v>2</v>
      </c>
      <c r="M45" s="68">
        <f t="shared" si="1"/>
        <v>10000</v>
      </c>
      <c r="N45" s="61">
        <v>10040</v>
      </c>
      <c r="O45" s="69" t="s">
        <v>223</v>
      </c>
      <c r="P45" s="70">
        <v>4.78</v>
      </c>
      <c r="Q45" s="70">
        <f t="shared" si="3"/>
        <v>47991.200000000004</v>
      </c>
      <c r="R45" s="67"/>
      <c r="S45" s="70"/>
    </row>
    <row r="46" spans="1:19" s="64" customFormat="1" ht="36.75" thickBot="1" x14ac:dyDescent="0.3">
      <c r="A46" s="63"/>
      <c r="B46" s="37">
        <f>ROW(B46) - ROW($B$9)</f>
        <v>37</v>
      </c>
      <c r="C46" s="52" t="s">
        <v>11</v>
      </c>
      <c r="D46" s="72" t="s">
        <v>45</v>
      </c>
      <c r="E46" s="45" t="s">
        <v>87</v>
      </c>
      <c r="F46" s="45" t="s">
        <v>241</v>
      </c>
      <c r="G46" s="46" t="s">
        <v>117</v>
      </c>
      <c r="H46" s="45" t="s">
        <v>165</v>
      </c>
      <c r="I46" s="45" t="s">
        <v>225</v>
      </c>
      <c r="J46" s="45" t="s">
        <v>225</v>
      </c>
      <c r="K46" s="58" t="s">
        <v>225</v>
      </c>
      <c r="L46" s="59">
        <v>1</v>
      </c>
      <c r="M46" s="58">
        <f t="shared" si="1"/>
        <v>5000</v>
      </c>
      <c r="N46" s="45">
        <v>5020</v>
      </c>
      <c r="O46" s="62" t="s">
        <v>231</v>
      </c>
      <c r="P46" s="47">
        <v>0.03</v>
      </c>
      <c r="Q46" s="47">
        <f t="shared" si="3"/>
        <v>150.6</v>
      </c>
      <c r="R46" s="89"/>
      <c r="S46" s="47"/>
    </row>
    <row r="47" spans="1:19" s="64" customFormat="1" ht="30.75" thickBot="1" x14ac:dyDescent="0.3">
      <c r="A47" s="63"/>
      <c r="B47" s="37">
        <f t="shared" si="0"/>
        <v>38</v>
      </c>
      <c r="C47" s="53" t="s">
        <v>11</v>
      </c>
      <c r="D47" s="71" t="s">
        <v>46</v>
      </c>
      <c r="E47" s="67" t="s">
        <v>88</v>
      </c>
      <c r="F47" s="61" t="s">
        <v>118</v>
      </c>
      <c r="G47" s="67" t="s">
        <v>149</v>
      </c>
      <c r="H47" s="61" t="s">
        <v>158</v>
      </c>
      <c r="I47" s="61" t="s">
        <v>225</v>
      </c>
      <c r="J47" s="61" t="s">
        <v>225</v>
      </c>
      <c r="K47" s="68" t="s">
        <v>225</v>
      </c>
      <c r="L47" s="61">
        <v>1</v>
      </c>
      <c r="M47" s="68">
        <f t="shared" si="1"/>
        <v>5000</v>
      </c>
      <c r="N47" s="61">
        <v>5020</v>
      </c>
      <c r="O47" s="69" t="s">
        <v>231</v>
      </c>
      <c r="P47" s="70">
        <v>3.383</v>
      </c>
      <c r="Q47" s="70">
        <f t="shared" si="3"/>
        <v>16982.66</v>
      </c>
      <c r="R47" s="97" t="s">
        <v>273</v>
      </c>
      <c r="S47" s="70"/>
    </row>
    <row r="48" spans="1:19" s="64" customFormat="1" ht="30.75" thickBot="1" x14ac:dyDescent="0.3">
      <c r="A48" s="63"/>
      <c r="B48" s="37">
        <f>ROW(B48) - ROW($B$9)</f>
        <v>39</v>
      </c>
      <c r="C48" s="52" t="s">
        <v>11</v>
      </c>
      <c r="D48" s="72" t="s">
        <v>47</v>
      </c>
      <c r="E48" s="45" t="s">
        <v>89</v>
      </c>
      <c r="F48" s="45" t="s">
        <v>119</v>
      </c>
      <c r="G48" s="46" t="s">
        <v>150</v>
      </c>
      <c r="H48" s="45" t="s">
        <v>166</v>
      </c>
      <c r="I48" s="45" t="s">
        <v>225</v>
      </c>
      <c r="J48" s="45" t="s">
        <v>225</v>
      </c>
      <c r="K48" s="58" t="s">
        <v>225</v>
      </c>
      <c r="L48" s="59">
        <v>4</v>
      </c>
      <c r="M48" s="58">
        <f t="shared" si="1"/>
        <v>20000</v>
      </c>
      <c r="N48" s="45">
        <v>20050</v>
      </c>
      <c r="O48" s="62" t="s">
        <v>231</v>
      </c>
      <c r="P48" s="47">
        <v>1.2649999999999999</v>
      </c>
      <c r="Q48" s="47">
        <f t="shared" si="3"/>
        <v>25363.249999999996</v>
      </c>
      <c r="R48" s="96" t="s">
        <v>273</v>
      </c>
      <c r="S48" s="47"/>
    </row>
    <row r="49" spans="1:19" s="64" customFormat="1" ht="48.75" thickBot="1" x14ac:dyDescent="0.3">
      <c r="A49" s="63"/>
      <c r="B49" s="37">
        <f t="shared" si="0"/>
        <v>40</v>
      </c>
      <c r="C49" s="53" t="s">
        <v>207</v>
      </c>
      <c r="D49" s="71" t="s">
        <v>48</v>
      </c>
      <c r="E49" s="67" t="s">
        <v>90</v>
      </c>
      <c r="F49" s="61" t="s">
        <v>230</v>
      </c>
      <c r="G49" s="67" t="s">
        <v>120</v>
      </c>
      <c r="H49" s="61" t="s">
        <v>167</v>
      </c>
      <c r="I49" s="61" t="s">
        <v>225</v>
      </c>
      <c r="J49" s="61" t="s">
        <v>234</v>
      </c>
      <c r="K49" s="68" t="s">
        <v>235</v>
      </c>
      <c r="L49" s="61">
        <v>1</v>
      </c>
      <c r="M49" s="68">
        <f t="shared" si="1"/>
        <v>5000</v>
      </c>
      <c r="N49" s="61">
        <v>5050</v>
      </c>
      <c r="O49" s="69" t="s">
        <v>223</v>
      </c>
      <c r="P49" s="70">
        <v>0.10050000000000001</v>
      </c>
      <c r="Q49" s="70">
        <f t="shared" si="3"/>
        <v>507.52500000000003</v>
      </c>
      <c r="R49" s="67"/>
      <c r="S49" s="70"/>
    </row>
    <row r="50" spans="1:19" s="64" customFormat="1" ht="36.75" thickBot="1" x14ac:dyDescent="0.3">
      <c r="A50" s="63"/>
      <c r="B50" s="37">
        <f>ROW(B50) - ROW($B$9)</f>
        <v>41</v>
      </c>
      <c r="C50" s="52" t="s">
        <v>207</v>
      </c>
      <c r="D50" s="72" t="s">
        <v>49</v>
      </c>
      <c r="E50" s="45" t="s">
        <v>91</v>
      </c>
      <c r="F50" s="45" t="s">
        <v>230</v>
      </c>
      <c r="G50" s="46" t="s">
        <v>121</v>
      </c>
      <c r="H50" s="45" t="s">
        <v>168</v>
      </c>
      <c r="I50" s="45" t="s">
        <v>225</v>
      </c>
      <c r="J50" s="45" t="s">
        <v>236</v>
      </c>
      <c r="K50" s="58" t="s">
        <v>237</v>
      </c>
      <c r="L50" s="75">
        <v>2</v>
      </c>
      <c r="M50" s="58">
        <f t="shared" si="1"/>
        <v>10000</v>
      </c>
      <c r="N50" s="45">
        <v>10050</v>
      </c>
      <c r="O50" s="62" t="s">
        <v>223</v>
      </c>
      <c r="P50" s="47">
        <v>4.0500000000000001E-2</v>
      </c>
      <c r="Q50" s="47">
        <f t="shared" si="3"/>
        <v>407.02500000000003</v>
      </c>
      <c r="R50" s="46"/>
      <c r="S50" s="47"/>
    </row>
    <row r="51" spans="1:19" ht="19.5" thickBot="1" x14ac:dyDescent="0.3">
      <c r="A51" s="1"/>
      <c r="B51" s="32"/>
      <c r="C51" s="43"/>
      <c r="D51" s="33"/>
      <c r="E51" s="34"/>
      <c r="F51" s="35"/>
      <c r="G51" s="36"/>
      <c r="H51" s="35"/>
      <c r="I51" s="36"/>
      <c r="J51" s="35"/>
      <c r="K51" s="36"/>
      <c r="L51" s="60"/>
      <c r="M51" s="36"/>
      <c r="N51" s="108" t="s">
        <v>217</v>
      </c>
      <c r="O51" s="109"/>
      <c r="P51" s="109"/>
      <c r="Q51" s="56">
        <f>SUM(Q10:Q50)</f>
        <v>305315.783</v>
      </c>
      <c r="R51" s="110"/>
      <c r="S51" s="111"/>
    </row>
    <row r="52" spans="1:19" ht="19.5" thickBot="1" x14ac:dyDescent="0.3">
      <c r="A52" s="1"/>
      <c r="B52" s="25"/>
      <c r="C52" s="44"/>
      <c r="D52" s="9"/>
      <c r="E52" s="10"/>
      <c r="F52" s="10"/>
      <c r="G52" s="10"/>
      <c r="H52" s="10"/>
      <c r="I52" s="10"/>
      <c r="J52" s="10"/>
      <c r="K52" s="10"/>
      <c r="L52" s="10"/>
      <c r="M52" s="10"/>
      <c r="N52" s="108" t="s">
        <v>218</v>
      </c>
      <c r="O52" s="109"/>
      <c r="P52" s="109"/>
      <c r="Q52" s="57">
        <f>Q51/5000</f>
        <v>61.063156599999999</v>
      </c>
      <c r="R52" s="112"/>
      <c r="S52" s="113"/>
    </row>
  </sheetData>
  <mergeCells count="5">
    <mergeCell ref="K1:S1"/>
    <mergeCell ref="S3:S8"/>
    <mergeCell ref="N51:P51"/>
    <mergeCell ref="R51:S52"/>
    <mergeCell ref="N52:P52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4:O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4" r:id="rId1"/>
    <hyperlink ref="O25" r:id="rId2"/>
    <hyperlink ref="O27" r:id="rId3"/>
    <hyperlink ref="O30" r:id="rId4"/>
    <hyperlink ref="O45" r:id="rId5"/>
    <hyperlink ref="O32" r:id="rId6"/>
    <hyperlink ref="O36" r:id="rId7"/>
    <hyperlink ref="O26" r:id="rId8"/>
    <hyperlink ref="O33" r:id="rId9"/>
    <hyperlink ref="O34" r:id="rId10"/>
    <hyperlink ref="O35" r:id="rId11"/>
    <hyperlink ref="O37" r:id="rId12"/>
    <hyperlink ref="O38" r:id="rId13"/>
    <hyperlink ref="O43" r:id="rId14"/>
    <hyperlink ref="O49" r:id="rId15"/>
    <hyperlink ref="O50" r:id="rId16"/>
    <hyperlink ref="O14" r:id="rId17"/>
    <hyperlink ref="O10" r:id="rId18"/>
    <hyperlink ref="O11" r:id="rId19"/>
    <hyperlink ref="O13" r:id="rId20"/>
    <hyperlink ref="O16" r:id="rId21"/>
    <hyperlink ref="O17" r:id="rId22"/>
    <hyperlink ref="O19" r:id="rId23"/>
    <hyperlink ref="O12" r:id="rId24"/>
    <hyperlink ref="O20" r:id="rId25"/>
    <hyperlink ref="O21" r:id="rId26"/>
    <hyperlink ref="O22" r:id="rId27"/>
    <hyperlink ref="O23" r:id="rId28"/>
    <hyperlink ref="O15" r:id="rId29"/>
    <hyperlink ref="O18" r:id="rId30"/>
  </hyperlinks>
  <pageMargins left="0.7" right="0.7" top="0.75" bottom="0.75" header="0.3" footer="0.3"/>
  <drawing r:id="rId3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O24:O25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O41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 Boards</vt:lpstr>
      <vt:lpstr>10 Boards</vt:lpstr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2023-03-01T14:00:43Z</dcterms:modified>
</cp:coreProperties>
</file>