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elih-SoundSensor\Design-Files\Project Outputs for Sound_Sensor\"/>
    </mc:Choice>
  </mc:AlternateContent>
  <xr:revisionPtr revIDLastSave="0" documentId="13_ncr:1_{8C005020-509C-4804-B10B-63BD5BE76775}" xr6:coauthVersionLast="47" xr6:coauthVersionMax="47" xr10:uidLastSave="{00000000-0000-0000-0000-000000000000}"/>
  <bookViews>
    <workbookView xWindow="2730" yWindow="240" windowWidth="11790" windowHeight="15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10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<sst xmlns="http://schemas.openxmlformats.org/spreadsheetml/2006/main" count="337" uniqueCount="245">
  <si>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</si>
  <si>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</si>
  <si>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</si>
  <si>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</si>
  <si>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</si>
  <si>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</si>
  <si>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</si>
  <si>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[Sound_Sensor.PrjPcb] (No PCB Document Selected)</t>
  </si>
  <si>
    <t>Sound_Sensor.PrjPcb</t>
  </si>
  <si>
    <t>None</t>
  </si>
  <si>
    <t>Designator</t>
  </si>
  <si>
    <t>C2</t>
  </si>
  <si>
    <t>C3, C5, C7, C9, C11, C13, C15, C17, C27, C29, C53, C55, C70, C72, C76, C78, C85, C#1, C#2</t>
  </si>
  <si>
    <t>C4, C6, C8, C10, C12, C14, C16, C18</t>
  </si>
  <si>
    <t>C19, C20</t>
  </si>
  <si>
    <t>C36</t>
  </si>
  <si>
    <t>C43, C44, C61, C62, C73, C74</t>
  </si>
  <si>
    <t>C45, C46, C47, C48, C49, C50, C51, C52, C60, C63, C64, C65, C66, C67, C68, C69</t>
  </si>
  <si>
    <t>C80</t>
  </si>
  <si>
    <t>C83</t>
  </si>
  <si>
    <t>C86</t>
  </si>
  <si>
    <t>C88, C89</t>
  </si>
  <si>
    <t>C90</t>
  </si>
  <si>
    <t>C91</t>
  </si>
  <si>
    <t>D1</t>
  </si>
  <si>
    <t>D2, D3</t>
  </si>
  <si>
    <t>J1</t>
  </si>
  <si>
    <t>J2</t>
  </si>
  <si>
    <t>J3</t>
  </si>
  <si>
    <t>J4</t>
  </si>
  <si>
    <t>L1</t>
  </si>
  <si>
    <t>L2, L3</t>
  </si>
  <si>
    <t>L4, L5</t>
  </si>
  <si>
    <t>L6</t>
  </si>
  <si>
    <t>MK1, MK2, MK3, MK4, MK5, MK6, MK7, MK8</t>
  </si>
  <si>
    <t>P1</t>
  </si>
  <si>
    <t>R1, R2, R3</t>
  </si>
  <si>
    <t>R4</t>
  </si>
  <si>
    <t>R5</t>
  </si>
  <si>
    <t>R6, R7, R8, R9</t>
  </si>
  <si>
    <t>R10, R17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</si>
  <si>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SB51, SB52, SB70, SB71, SB72</t>
  </si>
  <si>
    <t>SW1</t>
  </si>
  <si>
    <t>U1, U2</t>
  </si>
  <si>
    <t>U3</t>
  </si>
  <si>
    <t>U4</t>
  </si>
  <si>
    <t>U5, U6</t>
  </si>
  <si>
    <t>U7</t>
  </si>
  <si>
    <t>U8</t>
  </si>
  <si>
    <t>U9</t>
  </si>
  <si>
    <t>U10</t>
  </si>
  <si>
    <t>U13</t>
  </si>
  <si>
    <t>X1</t>
  </si>
  <si>
    <t>X2, X3</t>
  </si>
  <si>
    <t>X4</t>
  </si>
  <si>
    <t>Description</t>
  </si>
  <si>
    <t>CAP CER 10UF 25V X5R 0603</t>
  </si>
  <si>
    <t>CAP CER 4.7UF 25V X5R 0603</t>
  </si>
  <si>
    <t>CAP CER 1UF 25V X5R 0603</t>
  </si>
  <si>
    <t>CAP CER 220PF 50V C0G/NPO 0402</t>
  </si>
  <si>
    <t>CAP CER 22PF 50V C0G/NP0 0402</t>
  </si>
  <si>
    <t>CAP CER 0.1UF 100V X7R 0603</t>
  </si>
  <si>
    <t>CAP CER 0.22UF 50V X7S 0603</t>
  </si>
  <si>
    <t>CAP SMD 18pF ±5.0% 50V NPO 0603</t>
  </si>
  <si>
    <t>CAP CER 0.68uF 25V X7R 10% 0603 Paper T/R</t>
  </si>
  <si>
    <t>CAP CER 100PF 25V X7R 0603</t>
  </si>
  <si>
    <t>CAP CER 3300PF 50V X7R 0402</t>
  </si>
  <si>
    <t>CAP SMD 4700pF ±10% 25V X7R 0603</t>
  </si>
  <si>
    <t>CAP CER 33000pF ±10% 25V X7R 0603</t>
  </si>
  <si>
    <t>CAP SMD  2.7pF ±0.25pF 50V NPO 0603</t>
  </si>
  <si>
    <t>CAP SMD 4.7pF ±0.1pF 50V NPO 0603</t>
  </si>
  <si>
    <t>15V 19A 3.3V 4V Bidirectional SOD-323 ESD Protection Devices ROHS</t>
  </si>
  <si>
    <t>DIODE TVS SMD 5.5V 5A 90W</t>
  </si>
  <si>
    <t>05P MTA100 HDR ASSY (NARROW)</t>
  </si>
  <si>
    <t>USB 3.1 1 Surface Mount 6 Female -25℃~+85℃ Type-C SMD USB Connectors ROHS</t>
  </si>
  <si>
    <t>2 PIN JST Connector</t>
  </si>
  <si>
    <t>CONN U.FL RCPT STR 50 OHM SMD</t>
  </si>
  <si>
    <t>2nH ±0.3nH 0603 Inductors</t>
  </si>
  <si>
    <t>FIXED IND 3.3NH 1A 120 MOHM SMD</t>
  </si>
  <si>
    <t>FIXED IND 1.2NH 1A 90 MOHM SMD</t>
  </si>
  <si>
    <t>IND 700mA 1.6nH ±10% 40mΩ 0603</t>
  </si>
  <si>
    <t>MICROPHONE MEMS ANALOG NC -32DB</t>
  </si>
  <si>
    <t>CONN HEADER VERT 6POS 2.54MM</t>
  </si>
  <si>
    <t>RES SMD 100K OHM 5% 1/5W 0603</t>
  </si>
  <si>
    <t>RES SMD 499Ω ± 1.00% 0.1W ± 100ppm/℃ 0603</t>
  </si>
  <si>
    <t>RES SMD 20K OHM 1% 1/10W 0603</t>
  </si>
  <si>
    <t>RES SMD 0R, 1%, 0.1W, 0603</t>
  </si>
  <si>
    <t>RES SMD 10K OHM 1% 1/10W 0603</t>
  </si>
  <si>
    <t>Solder Bridge ON</t>
  </si>
  <si>
    <t>3mm 2mm Round Button 50mA Top3.65mm SPST 12V SMD Tactile Switches</t>
  </si>
  <si>
    <t>IC OR CTRLR IDEAL DIODE SC70-6</t>
  </si>
  <si>
    <t>Linear Voltage Regulator IC Positive Fixed 1 Output 3.3V 1A SOT-25</t>
  </si>
  <si>
    <t>IC ADC 24BIT SIGMA-DELTA 32TQFP</t>
  </si>
  <si>
    <t>IC ADC/AUDIO 24BIT 192K 30TSSOP</t>
  </si>
  <si>
    <t>IC RF TXRX+MCU BLUETOOTH WIFI</t>
  </si>
  <si>
    <t>IC FLASH 8MBIT SPI 86MHZ 8SOP</t>
  </si>
  <si>
    <t>RF ANT 2.4GHZ STAMPED MET SLD</t>
  </si>
  <si>
    <t>IC PSRAM 64MBIT SPI 133MHZ 8SOIC</t>
  </si>
  <si>
    <t>2 NPN pre-biased (Dual) 150mW 100mA 50V SC-70-6(SOT-363) Digital Transistors ROHS</t>
  </si>
  <si>
    <t>8.192MHz SMD Crystal Resonator 12pF 150Ω ±10ppm ±30ppm -40℃~+85℃ SMD_3225_4P Crystals ROHS</t>
  </si>
  <si>
    <t>24.576MHz SMD Crystal Resonator 12pF 60Ω ±10ppm -40℃~+85℃ SMD3225-4P Crystals ROHS</t>
  </si>
  <si>
    <t>40MHz SMD Crystal Resonator 15pF ±10ppm ±30ppm -40℃~+85℃ SMD3225-4P Crystals ROHS</t>
  </si>
  <si>
    <t>Footprint</t>
  </si>
  <si>
    <t>Cap 0603</t>
  </si>
  <si>
    <t>Cap 0402</t>
  </si>
  <si>
    <t>UDD32C03L01</t>
  </si>
  <si>
    <t>U262-061N-4BVC11</t>
  </si>
  <si>
    <t>JST Connector</t>
  </si>
  <si>
    <t>U.FL-R-SMT-1(80)</t>
  </si>
  <si>
    <t>IND 0603</t>
  </si>
  <si>
    <t>IND 0402</t>
  </si>
  <si>
    <t>FHW0603UC1N6KST</t>
  </si>
  <si>
    <t>ICS-40730</t>
  </si>
  <si>
    <t>HDR1X6</t>
  </si>
  <si>
    <t>Res0603</t>
  </si>
  <si>
    <t>Solder Bridge</t>
  </si>
  <si>
    <t>TS-1185EC-C-D-B</t>
  </si>
  <si>
    <t>SC70-6</t>
  </si>
  <si>
    <t>SOT-25</t>
  </si>
  <si>
    <t>32TQFP</t>
  </si>
  <si>
    <t>PCM1865DBTR</t>
  </si>
  <si>
    <t>ESP32-D0WD-V3</t>
  </si>
  <si>
    <t>SOP-8</t>
  </si>
  <si>
    <t>PRO-OB-440</t>
  </si>
  <si>
    <t>SOIC-8</t>
  </si>
  <si>
    <t>UMH3N</t>
  </si>
  <si>
    <t>3TJ481920NYLBC</t>
  </si>
  <si>
    <t>S3224576121060</t>
  </si>
  <si>
    <t>X322540MPB4SI</t>
  </si>
  <si>
    <t>Manufacturer Part Number</t>
  </si>
  <si>
    <t>CL10A106MA8NRNC</t>
  </si>
  <si>
    <t>CL10A475KA8NQNC</t>
  </si>
  <si>
    <t>CC0603KRX5R8BB105</t>
  </si>
  <si>
    <t>CC0402JRNPO9BN221</t>
  </si>
  <si>
    <t>04025A220FAT2A</t>
  </si>
  <si>
    <t>CC0603KRX7R0BB104</t>
  </si>
  <si>
    <t>UMK107C7224KAHTE</t>
  </si>
  <si>
    <t>CC0603JRNPO9BN180</t>
  </si>
  <si>
    <t>CC0603KRX7R8BB684</t>
  </si>
  <si>
    <t>CC0603KRX7R8BB101</t>
  </si>
  <si>
    <t>CGA2B2X7R1H332M050BA</t>
  </si>
  <si>
    <t>CC0603KRX7R8BB472</t>
  </si>
  <si>
    <t>CC0603KRX7R8BB333</t>
  </si>
  <si>
    <t>CC0603CRNPO9BN2R7</t>
  </si>
  <si>
    <t>CC0603BRNPO9BN4R7</t>
  </si>
  <si>
    <t>TPD1E10B06DPYR</t>
  </si>
  <si>
    <t>3-644456-5</t>
  </si>
  <si>
    <t>LQG18HN3N3S00D</t>
  </si>
  <si>
    <t>LQG15HS1N2S02D</t>
  </si>
  <si>
    <t>CRGH0603J100K</t>
  </si>
  <si>
    <t>RC0603FR-07499RL</t>
  </si>
  <si>
    <t>RC0603FR-070RL</t>
  </si>
  <si>
    <t>RC0603FR-0710KL</t>
  </si>
  <si>
    <t>LM66100DCKR</t>
  </si>
  <si>
    <t>XC6220B331MR-G</t>
  </si>
  <si>
    <t>ADS131M08IPBSR</t>
  </si>
  <si>
    <t>MX25L8006EM2I-12G</t>
  </si>
  <si>
    <t>Manufacturer</t>
  </si>
  <si>
    <t>Samsung</t>
  </si>
  <si>
    <t>Yageo</t>
  </si>
  <si>
    <t>Kyocera AVX</t>
  </si>
  <si>
    <t>Taiyo Yuden</t>
  </si>
  <si>
    <t>TDK</t>
  </si>
  <si>
    <t>Murata</t>
  </si>
  <si>
    <t>Brightking</t>
  </si>
  <si>
    <t>Texas Instruments</t>
  </si>
  <si>
    <t>TE Connectivity</t>
  </si>
  <si>
    <t>XKB</t>
  </si>
  <si>
    <t>Hirose</t>
  </si>
  <si>
    <t>Sunlord</t>
  </si>
  <si>
    <t>TDK InvenSense</t>
  </si>
  <si>
    <t>Wurth Electronics</t>
  </si>
  <si>
    <t>Torex</t>
  </si>
  <si>
    <t>Espressif Systems</t>
  </si>
  <si>
    <t>Macronix</t>
  </si>
  <si>
    <t>Proant</t>
  </si>
  <si>
    <t>Adafruit Industries</t>
  </si>
  <si>
    <t>Changjiang</t>
  </si>
  <si>
    <t>JYJE</t>
  </si>
  <si>
    <t>Yangxing Tech</t>
  </si>
  <si>
    <t>Comment</t>
  </si>
  <si>
    <t>10uF</t>
  </si>
  <si>
    <t>4.7UF</t>
  </si>
  <si>
    <t>1uF</t>
  </si>
  <si>
    <t>220pF</t>
  </si>
  <si>
    <t>22PF</t>
  </si>
  <si>
    <t>0.1uF</t>
  </si>
  <si>
    <t>220nF</t>
  </si>
  <si>
    <t>18pF</t>
  </si>
  <si>
    <t>680nF</t>
  </si>
  <si>
    <t>100pF</t>
  </si>
  <si>
    <t>3.3nF</t>
  </si>
  <si>
    <t>4.7nF</t>
  </si>
  <si>
    <t>33nF</t>
  </si>
  <si>
    <t>2.7pF</t>
  </si>
  <si>
    <t>4.7pF</t>
  </si>
  <si>
    <t>2nH</t>
  </si>
  <si>
    <t>3.3nH</t>
  </si>
  <si>
    <t>1.2nH</t>
  </si>
  <si>
    <t>1.6nH</t>
  </si>
  <si>
    <t>100K</t>
  </si>
  <si>
    <t>499R</t>
  </si>
  <si>
    <t>20K</t>
  </si>
  <si>
    <t>0R</t>
  </si>
  <si>
    <t>10K</t>
  </si>
  <si>
    <t>ESP-PSRAM64H</t>
  </si>
  <si>
    <t>Quantity</t>
  </si>
  <si>
    <t>Quantity/5</t>
  </si>
  <si>
    <t>Quantity/20</t>
  </si>
  <si>
    <t>Remarks</t>
  </si>
  <si>
    <t>LCSC/Part Number</t>
  </si>
  <si>
    <t>Alternate Part Number</t>
  </si>
  <si>
    <t>C2922482</t>
  </si>
  <si>
    <t>C69335</t>
  </si>
  <si>
    <t>C14664</t>
  </si>
  <si>
    <t>C107001</t>
  </si>
  <si>
    <t>C696857</t>
  </si>
  <si>
    <t>C113803</t>
  </si>
  <si>
    <t>C386159</t>
  </si>
  <si>
    <t>C107040</t>
  </si>
  <si>
    <t>C2838708</t>
  </si>
  <si>
    <t>C519410</t>
  </si>
  <si>
    <t>C696855</t>
  </si>
  <si>
    <t>C505480</t>
  </si>
  <si>
    <t>C113810</t>
  </si>
  <si>
    <t>LCSC/MOQ(5)</t>
  </si>
  <si>
    <t>LCSC/MOQ(20)</t>
  </si>
  <si>
    <t>Link</t>
  </si>
  <si>
    <t>C1, C56, C57,C75</t>
  </si>
  <si>
    <t>LCSC</t>
  </si>
  <si>
    <t>Unit Cost(5)</t>
  </si>
  <si>
    <t>MOQ Total 5</t>
  </si>
  <si>
    <t>Unit Cost(20)</t>
  </si>
  <si>
    <t>MOQ Total 20</t>
  </si>
  <si>
    <t>C21, C22, C23, C24, C25, C26, C28, C30, C31, C32, C33, C34, C35, C37, C38, C39, C40, C41, C42, C54, C58, C59, C71, C77, C79, C81, C82, C84, C87</t>
  </si>
  <si>
    <t>C282247</t>
  </si>
  <si>
    <t>C327022</t>
  </si>
  <si>
    <t>--------</t>
  </si>
  <si>
    <t>TCC0402COG220J500AT</t>
  </si>
  <si>
    <t>TCC0402X7R332K500AT</t>
  </si>
  <si>
    <t>-------</t>
  </si>
  <si>
    <t>SOD-323</t>
  </si>
  <si>
    <t>C78439</t>
  </si>
  <si>
    <t>Custom</t>
  </si>
  <si>
    <t xml:space="preserve">XHB-2A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</si>
</sst>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:ss\ AM/PM;@"/>
    <numFmt numFmtId="165" formatCode="&quot;$&quot;#,##0.0000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2"/>
      <color indexed="1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86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3" xfId="0" applyNumberFormat="1" applyFont="1" applyFill="1" applyBorder="1" applyAlignment="1" applyProtection="1">
      <alignment horizontal="left" vertical="top"/>
      <protection locked="0"/>
    </xf>
    <xf numFmtId="0" fontId="7" fillId="3" borderId="3" xfId="0" applyNumberFormat="1" applyFont="1" applyFill="1" applyBorder="1" applyAlignment="1" applyProtection="1">
      <alignment horizontal="left" vertical="top"/>
      <protection locked="0"/>
    </xf>
    <xf numFmtId="0" fontId="9" fillId="3" borderId="11" xfId="0" applyFont="1" applyFill="1" applyBorder="1" applyAlignment="1">
      <alignment vertical="center"/>
    </xf>
    <xf numFmtId="0" fontId="10" fillId="3" borderId="12" xfId="0" applyFont="1" applyFill="1" applyBorder="1" applyAlignment="1">
      <alignment vertical="center"/>
    </xf>
    <xf numFmtId="0" fontId="6" fillId="3" borderId="0" xfId="0" applyFont="1" applyFill="1" applyBorder="1" applyAlignment="1"/>
    <xf numFmtId="0" fontId="8" fillId="3" borderId="6" xfId="0" applyFont="1" applyFill="1" applyBorder="1" applyAlignment="1"/>
    <xf numFmtId="0" fontId="8" fillId="3" borderId="5" xfId="0" applyFont="1" applyFill="1" applyBorder="1" applyAlignment="1"/>
    <xf numFmtId="0" fontId="6" fillId="3" borderId="5" xfId="0" applyFont="1" applyFill="1" applyBorder="1" applyAlignment="1"/>
    <xf numFmtId="0" fontId="8" fillId="3" borderId="5" xfId="0" applyFont="1" applyFill="1" applyBorder="1" applyAlignment="1">
      <alignment horizontal="left"/>
    </xf>
    <xf numFmtId="0" fontId="11" fillId="3" borderId="0" xfId="0" applyFont="1" applyFill="1" applyBorder="1" applyAlignment="1"/>
    <xf numFmtId="0" fontId="8" fillId="3" borderId="1" xfId="0" applyFont="1" applyFill="1" applyBorder="1" applyAlignment="1">
      <alignment horizontal="left"/>
    </xf>
    <xf numFmtId="164" fontId="8" fillId="3" borderId="5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8" fillId="3" borderId="16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6" fillId="3" borderId="0" xfId="0" applyNumberFormat="1" applyFont="1" applyFill="1" applyBorder="1" applyAlignment="1" applyProtection="1">
      <alignment vertical="center"/>
      <protection locked="0"/>
    </xf>
    <xf numFmtId="0" fontId="7" fillId="3" borderId="0" xfId="0" applyNumberFormat="1" applyFont="1" applyFill="1" applyBorder="1" applyAlignment="1" applyProtection="1">
      <alignment horizontal="left" vertical="center"/>
      <protection locked="0"/>
    </xf>
    <xf numFmtId="0" fontId="6" fillId="3" borderId="8" xfId="0" applyNumberFormat="1" applyFont="1" applyFill="1" applyBorder="1" applyAlignment="1" applyProtection="1">
      <alignment horizontal="center" vertical="center"/>
      <protection locked="0"/>
    </xf>
    <xf numFmtId="0" fontId="0" fillId="3" borderId="17" xfId="0" applyFont="1" applyFill="1" applyBorder="1"/>
    <xf numFmtId="0" fontId="10" fillId="3" borderId="12" xfId="0" quotePrefix="1" applyFont="1" applyFill="1" applyBorder="1" applyAlignment="1">
      <alignment vertical="center"/>
    </xf>
    <xf numFmtId="0" fontId="6" fillId="3" borderId="0" xfId="0" quotePrefix="1" applyFont="1" applyFill="1" applyBorder="1" applyAlignment="1">
      <alignment horizontal="left"/>
    </xf>
    <xf numFmtId="0" fontId="6" fillId="3" borderId="6" xfId="0" quotePrefix="1" applyFont="1" applyFill="1" applyBorder="1" applyAlignment="1">
      <alignment horizontal="left"/>
    </xf>
    <xf numFmtId="0" fontId="6" fillId="3" borderId="5" xfId="0" quotePrefix="1" applyFont="1" applyFill="1" applyBorder="1" applyAlignment="1">
      <alignment horizontal="left"/>
    </xf>
    <xf numFmtId="0" fontId="11" fillId="3" borderId="5" xfId="0" applyFont="1" applyFill="1" applyBorder="1" applyAlignment="1"/>
    <xf numFmtId="0" fontId="6" fillId="5" borderId="1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/>
    </xf>
    <xf numFmtId="0" fontId="7" fillId="4" borderId="7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/>
    </xf>
    <xf numFmtId="0" fontId="13" fillId="3" borderId="0" xfId="0" applyFont="1" applyFill="1" applyBorder="1" applyAlignment="1">
      <alignment vertical="center"/>
    </xf>
    <xf numFmtId="0" fontId="13" fillId="3" borderId="0" xfId="0" applyFont="1" applyFill="1" applyBorder="1"/>
    <xf numFmtId="0" fontId="6" fillId="3" borderId="18" xfId="0" quotePrefix="1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8" fillId="3" borderId="0" xfId="0" applyFont="1" applyFill="1" applyBorder="1" applyAlignment="1"/>
    <xf numFmtId="0" fontId="10" fillId="6" borderId="21" xfId="0" applyFont="1" applyFill="1" applyBorder="1" applyAlignment="1">
      <alignment horizontal="center" vertical="center"/>
    </xf>
    <xf numFmtId="165" fontId="16" fillId="0" borderId="20" xfId="1" applyNumberFormat="1" applyFont="1" applyBorder="1" applyAlignment="1">
      <alignment horizontal="center" vertical="center"/>
    </xf>
    <xf numFmtId="165" fontId="16" fillId="0" borderId="22" xfId="1" applyNumberFormat="1" applyFont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165" fontId="16" fillId="0" borderId="7" xfId="1" applyNumberFormat="1" applyFont="1" applyBorder="1" applyAlignment="1">
      <alignment horizontal="center" vertical="center"/>
    </xf>
    <xf numFmtId="0" fontId="16" fillId="0" borderId="7" xfId="1" quotePrefix="1" applyFont="1" applyBorder="1" applyAlignment="1">
      <alignment horizontal="center" vertical="center"/>
    </xf>
    <xf numFmtId="0" fontId="15" fillId="0" borderId="7" xfId="1" quotePrefix="1" applyBorder="1" applyAlignment="1">
      <alignment horizontal="center" vertical="center"/>
    </xf>
    <xf numFmtId="165" fontId="15" fillId="0" borderId="7" xfId="1" applyNumberFormat="1" applyBorder="1" applyAlignment="1">
      <alignment horizontal="center" vertical="center"/>
    </xf>
    <xf numFmtId="165" fontId="15" fillId="0" borderId="23" xfId="1" applyNumberFormat="1" applyBorder="1" applyAlignment="1">
      <alignment horizontal="center" vertical="center"/>
    </xf>
    <xf numFmtId="0" fontId="13" fillId="0" borderId="20" xfId="0" quotePrefix="1" applyFont="1" applyBorder="1" applyAlignment="1">
      <alignment horizontal="center" vertical="center"/>
    </xf>
    <xf numFmtId="0" fontId="13" fillId="0" borderId="7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23" xfId="0" quotePrefix="1" applyFont="1" applyBorder="1" applyAlignment="1">
      <alignment horizontal="center" vertical="center"/>
    </xf>
    <xf numFmtId="165" fontId="14" fillId="0" borderId="20" xfId="0" applyNumberFormat="1" applyFont="1" applyBorder="1" applyAlignment="1">
      <alignment horizontal="center" vertical="center"/>
    </xf>
    <xf numFmtId="165" fontId="14" fillId="0" borderId="7" xfId="0" applyNumberFormat="1" applyFont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0" borderId="7" xfId="0" applyNumberFormat="1" applyFont="1" applyBorder="1" applyAlignment="1">
      <alignment horizontal="center" vertical="center"/>
    </xf>
    <xf numFmtId="165" fontId="13" fillId="0" borderId="23" xfId="0" applyNumberFormat="1" applyFont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0" xfId="0" quotePrefix="1" applyFont="1" applyFill="1" applyBorder="1" applyAlignment="1">
      <alignment horizontal="center" vertical="center"/>
    </xf>
    <xf numFmtId="0" fontId="14" fillId="2" borderId="7" xfId="0" quotePrefix="1" applyFont="1" applyFill="1" applyBorder="1" applyAlignment="1">
      <alignment horizontal="center" vertical="center"/>
    </xf>
    <xf numFmtId="0" fontId="14" fillId="2" borderId="23" xfId="0" quotePrefix="1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2" fillId="3" borderId="12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7" fillId="4" borderId="7" xfId="0" quotePrefix="1" applyFont="1" applyFill="1" applyBorder="1" applyAlignment="1">
      <alignment horizontal="center" vertical="center" wrapText="1"/>
    </xf>
    <xf numFmtId="165" fontId="15" fillId="0" borderId="20" xfId="1" applyNumberFormat="1" applyBorder="1" applyAlignment="1">
      <alignment horizontal="center" vertical="center"/>
    </xf>
    <xf numFmtId="0" fontId="13" fillId="2" borderId="7" xfId="0" quotePrefix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9525</xdr:colOff>
      <xdr:row>2</xdr:row>
      <xdr:rowOff>10417</xdr:rowOff>
    </xdr:from>
    <xdr:ext cx="1714500" cy="1104008"/>
    <xdr:pic>
      <xdr:nvPicPr>
        <xdr:cNvPr id="5" name="Picture 4">
          <a:extLst>
            <a:ext uri="{FF2B5EF4-FFF2-40B4-BE49-F238E27FC236}">
              <a16:creationId xmlns:a16="http://schemas.microsoft.com/office/drawing/2014/main" id="{5F51DDC4-238B-4B7A-87F6-6385D3CC2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83075" y="620017"/>
          <a:ext cx="1714500" cy="11040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Multilayer-Ceramic-Capacitors-MLCC-SMD-SMT_YAGEO-CC0603KRX7R8BB684_C2838708.html" TargetMode="External"/><Relationship Id="rId13" Type="http://schemas.openxmlformats.org/officeDocument/2006/relationships/hyperlink" Target="https://lcsc.com/product-detail/Multilayer-Ceramic-Capacitors-MLCC-SMD-SMT_YAGEO-CC0603KRX7R8BB333_C113810.html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lcsc.com/product-detail/Multilayer-Ceramic-Capacitors-MLCC-SMD-SMT_YAGEO-CC0603KRX5R8BB105_C14664.html" TargetMode="External"/><Relationship Id="rId7" Type="http://schemas.openxmlformats.org/officeDocument/2006/relationships/hyperlink" Target="https://lcsc.com/product-detail/Multilayer-Ceramic-Capacitors-MLCC-SMD-SMT_YAGEO-CC0603JRNPO9BN180_C107040.html" TargetMode="External"/><Relationship Id="rId12" Type="http://schemas.openxmlformats.org/officeDocument/2006/relationships/hyperlink" Target="https://lcsc.com/product-detail/Multilayer-Ceramic-Capacitors-MLCC-SMD-SMT_YAGEO-CC0603KRX7R8BB472_C505480.html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lcsc.com/product-detail/Multilayer-Ceramic-Capacitors-MLCC-SMD-SMT_Samsung-Electro-Mechanics-CL10A475KA8NQNC_C69335.html" TargetMode="External"/><Relationship Id="rId16" Type="http://schemas.openxmlformats.org/officeDocument/2006/relationships/hyperlink" Target="https://lcsc.com/product-detail/ESD-Protection-Devices_Brightking-Elec-TAIWAN-UDD32C03L01_C78439.html" TargetMode="External"/><Relationship Id="rId1" Type="http://schemas.openxmlformats.org/officeDocument/2006/relationships/hyperlink" Target="https://lcsc.com/product-detail/Multilayer-Ceramic-Capacitors-MLCC-SMD-SMT_Samsung-Electro-Mechanics-CL10A106MA8NRNC_C2922482.html" TargetMode="External"/><Relationship Id="rId6" Type="http://schemas.openxmlformats.org/officeDocument/2006/relationships/hyperlink" Target="https://lcsc.com/product-detail/Multilayer-Ceramic-Capacitors-MLCC-SMD-SMT_Taiyo-Yuden-UMK107C7224KAHTE_C386159.html" TargetMode="External"/><Relationship Id="rId11" Type="http://schemas.openxmlformats.org/officeDocument/2006/relationships/hyperlink" Target="https://lcsc.com/product-detail/Multilayer-Ceramic-Capacitors-MLCC-SMD-SMT_CCTC-TCC0402X7R332K500AT_C696855.html" TargetMode="External"/><Relationship Id="rId5" Type="http://schemas.openxmlformats.org/officeDocument/2006/relationships/hyperlink" Target="https://lcsc.com/product-detail/Multilayer-Ceramic-Capacitors-MLCC-SMD-SMT_YAGEO-CC0603KRX7R0BB104_C113803.html" TargetMode="External"/><Relationship Id="rId15" Type="http://schemas.openxmlformats.org/officeDocument/2006/relationships/hyperlink" Target="https://lcsc.com/product-detail/Multilayer-Ceramic-Capacitors-MLCC-SMD-SMT_YAGEO-CC0603BRNPO9BN4R7_C327022.html" TargetMode="External"/><Relationship Id="rId10" Type="http://schemas.openxmlformats.org/officeDocument/2006/relationships/hyperlink" Target="https://lcsc.com/product-detail/Multilayer-Ceramic-Capacitors-MLCC-SMD-SMT_YAGEO-CC0603KRX7R8BB101_C519410.html" TargetMode="External"/><Relationship Id="rId4" Type="http://schemas.openxmlformats.org/officeDocument/2006/relationships/hyperlink" Target="https://lcsc.com/product-detail/Multilayer-Ceramic-Capacitors-MLCC-SMD-SMT_YAGEO-CC0402JRNPO9BN221_C107001.html" TargetMode="External"/><Relationship Id="rId9" Type="http://schemas.openxmlformats.org/officeDocument/2006/relationships/hyperlink" Target="https://lcsc.com/product-detail/Multilayer-Ceramic-Capacitors-MLCC-SMD-SMT_CCTC-TCC0402COG220J500AT_C696857.html" TargetMode="External"/><Relationship Id="rId14" Type="http://schemas.openxmlformats.org/officeDocument/2006/relationships/hyperlink" Target="https://lcsc.com/product-detail/Multilayer-Ceramic-Capacitors-MLCC-SMD-SMT_YAGEO-CC0603CRNPO9BN2R7_C28224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57"/>
  <sheetViews>
    <sheetView tabSelected="1" topLeftCell="D16" workbookViewId="0">
      <selection activeCell="F28" sqref="F28"/>
    </sheetView>
  </sheetViews>
  <sheetFormatPr defaultRowHeight="15" x14ac:dyDescent="0.25"/>
  <cols>
    <col min="2" max="2" width="3.140625" style="22" customWidth="1"/>
    <col min="3" max="3" width="36" bestFit="1" customWidth="1"/>
    <col min="4" max="4" width="18.85546875" bestFit="1" customWidth="1"/>
    <col min="5" max="5" width="26.5703125" bestFit="1" customWidth="1"/>
    <col min="6" max="6" width="29.42578125" bestFit="1" customWidth="1"/>
    <col min="7" max="7" width="29.42578125" customWidth="1"/>
    <col min="8" max="8" width="18.85546875" bestFit="1" customWidth="1"/>
    <col min="9" max="9" width="18.28515625" bestFit="1" customWidth="1"/>
    <col min="10" max="10" width="16" bestFit="1" customWidth="1"/>
    <col min="11" max="11" width="29.42578125" customWidth="1"/>
    <col min="12" max="13" width="26.85546875" bestFit="1" customWidth="1"/>
    <col min="14" max="20" width="26.85546875" customWidth="1"/>
    <col min="21" max="21" width="26.85546875" bestFit="1" customWidth="1"/>
  </cols>
  <sheetData>
    <row r="1" spans="1:21" ht="15.75" thickBot="1" x14ac:dyDescent="0.3">
      <c r="A1" s="1"/>
      <c r="B1" s="15"/>
      <c r="C1" s="2"/>
      <c r="D1" s="2"/>
      <c r="E1" s="2"/>
      <c r="F1" s="2"/>
      <c r="G1" s="2"/>
      <c r="H1" s="2"/>
      <c r="I1" s="80"/>
      <c r="J1" s="80"/>
      <c r="K1" s="80"/>
    </row>
    <row r="2" spans="1:21" ht="32.25" thickBot="1" x14ac:dyDescent="0.3">
      <c r="A2" s="1"/>
      <c r="B2" s="16"/>
      <c r="C2" s="5" t="s">
        <v>0</v>
      </c>
      <c r="D2" s="5"/>
      <c r="E2" s="27" t="s">
        <v>7</v>
      </c>
      <c r="F2" s="6"/>
      <c r="G2" s="6"/>
      <c r="H2" s="6"/>
      <c r="I2" s="6"/>
      <c r="J2" s="6"/>
      <c r="K2" s="6"/>
      <c r="L2" s="46"/>
      <c r="M2" s="78"/>
      <c r="N2" s="78"/>
      <c r="O2" s="78"/>
      <c r="P2" s="78"/>
      <c r="Q2" s="78"/>
      <c r="R2" s="78"/>
      <c r="S2" s="78"/>
      <c r="T2" s="78"/>
      <c r="U2" s="79"/>
    </row>
    <row r="3" spans="1:21" x14ac:dyDescent="0.25">
      <c r="A3" s="1"/>
      <c r="B3" s="17"/>
      <c r="C3" s="7" t="s">
        <v>1</v>
      </c>
      <c r="D3" s="7"/>
      <c r="E3" s="28" t="s">
        <v>8</v>
      </c>
      <c r="F3" s="7"/>
      <c r="G3" s="7"/>
      <c r="H3" s="7"/>
      <c r="I3" s="7"/>
      <c r="J3" s="7"/>
      <c r="K3" s="9"/>
      <c r="L3" s="9"/>
      <c r="M3" s="9"/>
      <c r="N3" s="9"/>
      <c r="O3" s="9"/>
      <c r="P3" s="50"/>
      <c r="Q3" s="50"/>
      <c r="R3" s="50"/>
      <c r="S3" s="50"/>
      <c r="T3" s="50"/>
      <c r="U3" s="76"/>
    </row>
    <row r="4" spans="1:21" x14ac:dyDescent="0.25">
      <c r="A4" s="1"/>
      <c r="B4" s="17"/>
      <c r="C4" s="7" t="s">
        <v>2</v>
      </c>
      <c r="D4" s="7"/>
      <c r="E4" s="29" t="s">
        <v>8</v>
      </c>
      <c r="F4" s="8"/>
      <c r="G4" s="8"/>
      <c r="H4" s="8"/>
      <c r="I4" s="8"/>
      <c r="J4" s="9"/>
      <c r="K4" s="9"/>
      <c r="L4" s="9"/>
      <c r="M4" s="9"/>
      <c r="N4" s="9"/>
      <c r="O4" s="9"/>
      <c r="P4" s="50"/>
      <c r="Q4" s="50"/>
      <c r="R4" s="50"/>
      <c r="S4" s="50"/>
      <c r="T4" s="50"/>
      <c r="U4" s="77"/>
    </row>
    <row r="5" spans="1:21" x14ac:dyDescent="0.25">
      <c r="A5" s="1"/>
      <c r="B5" s="17"/>
      <c r="C5" s="7" t="s">
        <v>3</v>
      </c>
      <c r="D5" s="7"/>
      <c r="E5" s="30" t="s">
        <v>9</v>
      </c>
      <c r="F5" s="9"/>
      <c r="G5" s="9"/>
      <c r="H5" s="9"/>
      <c r="I5" s="9"/>
      <c r="J5" s="9"/>
      <c r="K5" s="9"/>
      <c r="L5" s="9"/>
      <c r="M5" s="9"/>
      <c r="N5" s="9"/>
      <c r="O5" s="9"/>
      <c r="P5" s="50"/>
      <c r="Q5" s="50"/>
      <c r="R5" s="50"/>
      <c r="S5" s="50"/>
      <c r="T5" s="50"/>
      <c r="U5" s="77"/>
    </row>
    <row r="6" spans="1:21" x14ac:dyDescent="0.25">
      <c r="A6" s="1"/>
      <c r="B6" s="18"/>
      <c r="C6" s="10"/>
      <c r="D6" s="10"/>
      <c r="E6" s="11"/>
      <c r="F6" s="9"/>
      <c r="G6" s="9"/>
      <c r="H6" s="9"/>
      <c r="I6" s="9"/>
      <c r="J6" s="9"/>
      <c r="K6" s="9"/>
      <c r="L6" s="9"/>
      <c r="M6" s="9"/>
      <c r="N6" s="9"/>
      <c r="O6" s="9"/>
      <c r="P6" s="50"/>
      <c r="Q6" s="50"/>
      <c r="R6" s="50"/>
      <c r="S6" s="50"/>
      <c r="T6" s="50"/>
      <c r="U6" s="77"/>
    </row>
    <row r="7" spans="1:21" x14ac:dyDescent="0.25">
      <c r="A7" s="1"/>
      <c r="B7" s="19"/>
      <c r="C7" s="12"/>
      <c r="D7" s="12"/>
      <c r="E7" s="13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77"/>
    </row>
    <row r="8" spans="1:21" ht="15.75" thickBot="1" x14ac:dyDescent="0.3">
      <c r="A8" s="1"/>
      <c r="B8" s="20"/>
      <c r="C8" s="9"/>
      <c r="D8" s="9"/>
      <c r="E8" s="14"/>
      <c r="F8" s="12"/>
      <c r="G8" s="12"/>
      <c r="H8" s="12"/>
      <c r="I8" s="3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77"/>
    </row>
    <row r="9" spans="1:21" ht="16.5" thickBot="1" x14ac:dyDescent="0.3">
      <c r="A9" s="1"/>
      <c r="B9" s="32" t="s">
        <v>4</v>
      </c>
      <c r="C9" s="33" t="s">
        <v>10</v>
      </c>
      <c r="D9" s="33" t="s">
        <v>55</v>
      </c>
      <c r="E9" s="33" t="s">
        <v>102</v>
      </c>
      <c r="F9" s="33" t="s">
        <v>129</v>
      </c>
      <c r="G9" s="33" t="s">
        <v>211</v>
      </c>
      <c r="H9" s="33" t="s">
        <v>157</v>
      </c>
      <c r="I9" s="33" t="s">
        <v>180</v>
      </c>
      <c r="J9" s="43" t="s">
        <v>210</v>
      </c>
      <c r="K9" s="34" t="s">
        <v>206</v>
      </c>
      <c r="L9" s="34" t="s">
        <v>207</v>
      </c>
      <c r="M9" s="34" t="s">
        <v>208</v>
      </c>
      <c r="N9" s="34" t="s">
        <v>225</v>
      </c>
      <c r="O9" s="34" t="s">
        <v>226</v>
      </c>
      <c r="P9" s="51" t="s">
        <v>227</v>
      </c>
      <c r="Q9" s="54" t="s">
        <v>230</v>
      </c>
      <c r="R9" s="51" t="s">
        <v>231</v>
      </c>
      <c r="S9" s="54" t="s">
        <v>232</v>
      </c>
      <c r="T9" s="51" t="s">
        <v>233</v>
      </c>
      <c r="U9" s="34" t="s">
        <v>209</v>
      </c>
    </row>
    <row r="10" spans="1:21" ht="25.5" x14ac:dyDescent="0.25">
      <c r="A10" s="1"/>
      <c r="B10" s="35">
        <f>ROW(B10) - ROW($B$9)</f>
        <v>1</v>
      </c>
      <c r="C10" s="36" t="s">
        <v>228</v>
      </c>
      <c r="D10" s="36" t="s">
        <v>56</v>
      </c>
      <c r="E10" s="36" t="s">
        <v>103</v>
      </c>
      <c r="F10" s="36" t="s">
        <v>130</v>
      </c>
      <c r="G10" s="71" t="s">
        <v>237</v>
      </c>
      <c r="H10" s="36" t="s">
        <v>158</v>
      </c>
      <c r="I10" s="36" t="s">
        <v>181</v>
      </c>
      <c r="J10" s="47" t="s">
        <v>212</v>
      </c>
      <c r="K10" s="81">
        <v>4</v>
      </c>
      <c r="L10" s="81">
        <f>K10*5</f>
        <v>20</v>
      </c>
      <c r="M10" s="81">
        <f>K10*20</f>
        <v>80</v>
      </c>
      <c r="N10" s="60">
        <v>40</v>
      </c>
      <c r="O10" s="60">
        <v>100</v>
      </c>
      <c r="P10" s="52" t="s">
        <v>229</v>
      </c>
      <c r="Q10" s="64">
        <v>1.3599999999999999E-2</v>
      </c>
      <c r="R10" s="53"/>
      <c r="S10" s="67">
        <v>1.3599999999999999E-2</v>
      </c>
      <c r="T10" s="53"/>
      <c r="U10" s="37"/>
    </row>
    <row r="11" spans="1:21" ht="25.5" x14ac:dyDescent="0.25">
      <c r="A11" s="1"/>
      <c r="B11" s="35">
        <f t="shared" ref="B11:B55" si="0">ROW(B11) - ROW($B$9)</f>
        <v>2</v>
      </c>
      <c r="C11" s="38" t="s">
        <v>11</v>
      </c>
      <c r="D11" s="38" t="s">
        <v>57</v>
      </c>
      <c r="E11" s="38" t="s">
        <v>103</v>
      </c>
      <c r="F11" s="38" t="s">
        <v>131</v>
      </c>
      <c r="G11" s="72" t="s">
        <v>237</v>
      </c>
      <c r="H11" s="38" t="s">
        <v>158</v>
      </c>
      <c r="I11" s="38" t="s">
        <v>182</v>
      </c>
      <c r="J11" s="48" t="s">
        <v>213</v>
      </c>
      <c r="K11" s="82">
        <v>1</v>
      </c>
      <c r="L11" s="81">
        <f t="shared" ref="L11:L55" si="1">K11*5</f>
        <v>5</v>
      </c>
      <c r="M11" s="81">
        <f t="shared" ref="M11:M55" si="2">K11*20</f>
        <v>20</v>
      </c>
      <c r="N11" s="61">
        <v>20</v>
      </c>
      <c r="O11" s="61">
        <v>40</v>
      </c>
      <c r="P11" s="55" t="s">
        <v>229</v>
      </c>
      <c r="Q11" s="65">
        <v>2.0299999999999999E-2</v>
      </c>
      <c r="R11" s="39"/>
      <c r="S11" s="68">
        <v>2.0299999999999999E-2</v>
      </c>
      <c r="T11" s="39"/>
      <c r="U11" s="39"/>
    </row>
    <row r="12" spans="1:21" ht="25.5" x14ac:dyDescent="0.25">
      <c r="A12" s="1"/>
      <c r="B12" s="35">
        <f>ROW(B12) - ROW($B$9)</f>
        <v>3</v>
      </c>
      <c r="C12" s="36" t="s">
        <v>12</v>
      </c>
      <c r="D12" s="36" t="s">
        <v>58</v>
      </c>
      <c r="E12" s="36" t="s">
        <v>103</v>
      </c>
      <c r="F12" s="36" t="s">
        <v>132</v>
      </c>
      <c r="G12" s="72" t="s">
        <v>237</v>
      </c>
      <c r="H12" s="36" t="s">
        <v>159</v>
      </c>
      <c r="I12" s="36" t="s">
        <v>183</v>
      </c>
      <c r="J12" s="48" t="s">
        <v>214</v>
      </c>
      <c r="K12" s="81">
        <v>19</v>
      </c>
      <c r="L12" s="81">
        <f t="shared" si="1"/>
        <v>95</v>
      </c>
      <c r="M12" s="81">
        <f t="shared" si="2"/>
        <v>380</v>
      </c>
      <c r="N12" s="61">
        <v>100</v>
      </c>
      <c r="O12" s="61">
        <v>400</v>
      </c>
      <c r="P12" s="55" t="s">
        <v>229</v>
      </c>
      <c r="Q12" s="65">
        <v>7.3000000000000001E-3</v>
      </c>
      <c r="R12" s="37"/>
      <c r="S12" s="68">
        <v>7.0000000000000001E-3</v>
      </c>
      <c r="T12" s="37"/>
      <c r="U12" s="37"/>
    </row>
    <row r="13" spans="1:21" ht="25.5" x14ac:dyDescent="0.25">
      <c r="A13" s="1"/>
      <c r="B13" s="35">
        <f t="shared" si="0"/>
        <v>4</v>
      </c>
      <c r="C13" s="38" t="s">
        <v>13</v>
      </c>
      <c r="D13" s="38" t="s">
        <v>59</v>
      </c>
      <c r="E13" s="38" t="s">
        <v>104</v>
      </c>
      <c r="F13" s="38" t="s">
        <v>133</v>
      </c>
      <c r="G13" s="72" t="s">
        <v>237</v>
      </c>
      <c r="H13" s="38" t="s">
        <v>159</v>
      </c>
      <c r="I13" s="38" t="s">
        <v>184</v>
      </c>
      <c r="J13" s="48" t="s">
        <v>215</v>
      </c>
      <c r="K13" s="82">
        <v>8</v>
      </c>
      <c r="L13" s="81">
        <f t="shared" si="1"/>
        <v>40</v>
      </c>
      <c r="M13" s="81">
        <f t="shared" si="2"/>
        <v>160</v>
      </c>
      <c r="N13" s="61">
        <v>100</v>
      </c>
      <c r="O13" s="61">
        <v>200</v>
      </c>
      <c r="P13" s="56" t="s">
        <v>229</v>
      </c>
      <c r="Q13" s="65">
        <v>3.3999999999999998E-3</v>
      </c>
      <c r="R13" s="39"/>
      <c r="S13" s="68">
        <v>3.3999999999999998E-3</v>
      </c>
      <c r="T13" s="39"/>
      <c r="U13" s="39"/>
    </row>
    <row r="14" spans="1:21" ht="25.5" x14ac:dyDescent="0.25">
      <c r="A14" s="1"/>
      <c r="B14" s="35">
        <f>ROW(B14) - ROW($B$9)</f>
        <v>5</v>
      </c>
      <c r="C14" s="36" t="s">
        <v>14</v>
      </c>
      <c r="D14" s="36" t="s">
        <v>60</v>
      </c>
      <c r="E14" s="36" t="s">
        <v>104</v>
      </c>
      <c r="F14" s="74" t="s">
        <v>134</v>
      </c>
      <c r="G14" s="72" t="s">
        <v>238</v>
      </c>
      <c r="H14" s="36" t="s">
        <v>160</v>
      </c>
      <c r="I14" s="36" t="s">
        <v>185</v>
      </c>
      <c r="J14" s="48" t="s">
        <v>216</v>
      </c>
      <c r="K14" s="81">
        <v>2</v>
      </c>
      <c r="L14" s="81">
        <f t="shared" si="1"/>
        <v>10</v>
      </c>
      <c r="M14" s="81">
        <f t="shared" si="2"/>
        <v>40</v>
      </c>
      <c r="N14" s="61">
        <v>100</v>
      </c>
      <c r="O14" s="61">
        <v>100</v>
      </c>
      <c r="P14" s="57" t="s">
        <v>229</v>
      </c>
      <c r="Q14" s="65">
        <v>1.2999999999999999E-3</v>
      </c>
      <c r="R14" s="37"/>
      <c r="S14" s="68">
        <v>1.2999999999999999E-3</v>
      </c>
      <c r="T14" s="37"/>
      <c r="U14" s="37"/>
    </row>
    <row r="15" spans="1:21" ht="51" x14ac:dyDescent="0.25">
      <c r="A15" s="1"/>
      <c r="B15" s="35">
        <f t="shared" si="0"/>
        <v>6</v>
      </c>
      <c r="C15" s="38" t="s">
        <v>234</v>
      </c>
      <c r="D15" s="38" t="s">
        <v>61</v>
      </c>
      <c r="E15" s="38" t="s">
        <v>103</v>
      </c>
      <c r="F15" s="38" t="s">
        <v>135</v>
      </c>
      <c r="G15" s="72" t="s">
        <v>237</v>
      </c>
      <c r="H15" s="38" t="s">
        <v>159</v>
      </c>
      <c r="I15" s="38" t="s">
        <v>186</v>
      </c>
      <c r="J15" s="48" t="s">
        <v>217</v>
      </c>
      <c r="K15" s="82">
        <v>28</v>
      </c>
      <c r="L15" s="81">
        <f t="shared" si="1"/>
        <v>140</v>
      </c>
      <c r="M15" s="81">
        <f t="shared" si="2"/>
        <v>560</v>
      </c>
      <c r="N15" s="61">
        <v>150</v>
      </c>
      <c r="O15" s="61">
        <v>600</v>
      </c>
      <c r="P15" s="56" t="s">
        <v>229</v>
      </c>
      <c r="Q15" s="65">
        <v>7.1999999999999998E-3</v>
      </c>
      <c r="R15" s="39"/>
      <c r="S15" s="68">
        <v>5.7999999999999996E-3</v>
      </c>
      <c r="T15" s="39"/>
      <c r="U15" s="39"/>
    </row>
    <row r="16" spans="1:21" ht="25.5" x14ac:dyDescent="0.25">
      <c r="A16" s="1"/>
      <c r="B16" s="35">
        <f>ROW(B16) - ROW($B$9)</f>
        <v>7</v>
      </c>
      <c r="C16" s="36" t="s">
        <v>15</v>
      </c>
      <c r="D16" s="36" t="s">
        <v>62</v>
      </c>
      <c r="E16" s="36" t="s">
        <v>103</v>
      </c>
      <c r="F16" s="36" t="s">
        <v>136</v>
      </c>
      <c r="G16" s="72" t="s">
        <v>237</v>
      </c>
      <c r="H16" s="36" t="s">
        <v>161</v>
      </c>
      <c r="I16" s="36" t="s">
        <v>187</v>
      </c>
      <c r="J16" s="49" t="s">
        <v>218</v>
      </c>
      <c r="K16" s="81">
        <v>1</v>
      </c>
      <c r="L16" s="81">
        <f t="shared" si="1"/>
        <v>5</v>
      </c>
      <c r="M16" s="81">
        <f t="shared" si="2"/>
        <v>20</v>
      </c>
      <c r="N16" s="62">
        <v>10</v>
      </c>
      <c r="O16" s="62">
        <v>30</v>
      </c>
      <c r="P16" s="56" t="s">
        <v>229</v>
      </c>
      <c r="Q16" s="65">
        <v>4.4299999999999999E-2</v>
      </c>
      <c r="R16" s="37"/>
      <c r="S16" s="68">
        <v>3.8199999999999998E-2</v>
      </c>
      <c r="T16" s="37"/>
      <c r="U16" s="37"/>
    </row>
    <row r="17" spans="1:21" ht="25.5" x14ac:dyDescent="0.25">
      <c r="A17" s="1"/>
      <c r="B17" s="35">
        <f t="shared" si="0"/>
        <v>8</v>
      </c>
      <c r="C17" s="38" t="s">
        <v>16</v>
      </c>
      <c r="D17" s="38" t="s">
        <v>63</v>
      </c>
      <c r="E17" s="38" t="s">
        <v>103</v>
      </c>
      <c r="F17" s="38" t="s">
        <v>137</v>
      </c>
      <c r="G17" s="72" t="s">
        <v>237</v>
      </c>
      <c r="H17" s="38" t="s">
        <v>159</v>
      </c>
      <c r="I17" s="38" t="s">
        <v>188</v>
      </c>
      <c r="J17" s="48" t="s">
        <v>219</v>
      </c>
      <c r="K17" s="82">
        <v>6</v>
      </c>
      <c r="L17" s="81">
        <f t="shared" si="1"/>
        <v>30</v>
      </c>
      <c r="M17" s="81">
        <f t="shared" si="2"/>
        <v>120</v>
      </c>
      <c r="N17" s="62">
        <v>100</v>
      </c>
      <c r="O17" s="62">
        <v>200</v>
      </c>
      <c r="P17" s="55" t="s">
        <v>229</v>
      </c>
      <c r="Q17" s="65">
        <v>3.2000000000000002E-3</v>
      </c>
      <c r="R17" s="39"/>
      <c r="S17" s="68">
        <v>3.2000000000000002E-3</v>
      </c>
      <c r="T17" s="39"/>
      <c r="U17" s="39"/>
    </row>
    <row r="18" spans="1:21" ht="38.25" x14ac:dyDescent="0.25">
      <c r="A18" s="1"/>
      <c r="B18" s="35">
        <f>ROW(B18) - ROW($B$9)</f>
        <v>9</v>
      </c>
      <c r="C18" s="36" t="s">
        <v>17</v>
      </c>
      <c r="D18" s="36" t="s">
        <v>64</v>
      </c>
      <c r="E18" s="36" t="s">
        <v>103</v>
      </c>
      <c r="F18" s="36" t="s">
        <v>138</v>
      </c>
      <c r="G18" s="72" t="s">
        <v>237</v>
      </c>
      <c r="H18" s="36" t="s">
        <v>159</v>
      </c>
      <c r="I18" s="36" t="s">
        <v>189</v>
      </c>
      <c r="J18" s="48" t="s">
        <v>220</v>
      </c>
      <c r="K18" s="81">
        <v>16</v>
      </c>
      <c r="L18" s="81">
        <f t="shared" si="1"/>
        <v>80</v>
      </c>
      <c r="M18" s="81">
        <f t="shared" si="2"/>
        <v>320</v>
      </c>
      <c r="N18" s="62">
        <v>100</v>
      </c>
      <c r="O18" s="62">
        <v>350</v>
      </c>
      <c r="P18" s="55" t="s">
        <v>229</v>
      </c>
      <c r="Q18" s="65">
        <v>1.5100000000000001E-2</v>
      </c>
      <c r="R18" s="37"/>
      <c r="S18" s="68">
        <v>1.5100000000000001E-2</v>
      </c>
      <c r="T18" s="37"/>
      <c r="U18" s="37"/>
    </row>
    <row r="19" spans="1:21" ht="25.5" x14ac:dyDescent="0.25">
      <c r="A19" s="1"/>
      <c r="B19" s="35">
        <f>ROW(B19) - ROW($B$9)</f>
        <v>10</v>
      </c>
      <c r="C19" s="36" t="s">
        <v>18</v>
      </c>
      <c r="D19" s="36" t="s">
        <v>65</v>
      </c>
      <c r="E19" s="36" t="s">
        <v>103</v>
      </c>
      <c r="F19" s="36" t="s">
        <v>139</v>
      </c>
      <c r="G19" s="72" t="s">
        <v>237</v>
      </c>
      <c r="H19" s="36" t="s">
        <v>159</v>
      </c>
      <c r="I19" s="36" t="s">
        <v>190</v>
      </c>
      <c r="J19" s="48" t="s">
        <v>221</v>
      </c>
      <c r="K19" s="81">
        <v>1</v>
      </c>
      <c r="L19" s="81">
        <f t="shared" si="1"/>
        <v>5</v>
      </c>
      <c r="M19" s="81">
        <f t="shared" si="2"/>
        <v>20</v>
      </c>
      <c r="N19" s="62">
        <v>50</v>
      </c>
      <c r="O19" s="62">
        <v>50</v>
      </c>
      <c r="P19" s="58" t="s">
        <v>229</v>
      </c>
      <c r="Q19" s="65">
        <v>4.7000000000000002E-3</v>
      </c>
      <c r="R19" s="37"/>
      <c r="S19" s="68">
        <v>4.7000000000000002E-3</v>
      </c>
      <c r="T19" s="37"/>
      <c r="U19" s="37"/>
    </row>
    <row r="20" spans="1:21" ht="25.5" x14ac:dyDescent="0.25">
      <c r="A20" s="1"/>
      <c r="B20" s="35">
        <f t="shared" si="0"/>
        <v>11</v>
      </c>
      <c r="C20" s="38" t="s">
        <v>19</v>
      </c>
      <c r="D20" s="38" t="s">
        <v>66</v>
      </c>
      <c r="E20" s="38" t="s">
        <v>104</v>
      </c>
      <c r="F20" s="75" t="s">
        <v>140</v>
      </c>
      <c r="G20" s="72" t="s">
        <v>239</v>
      </c>
      <c r="H20" s="38" t="s">
        <v>162</v>
      </c>
      <c r="I20" s="38" t="s">
        <v>191</v>
      </c>
      <c r="J20" s="48" t="s">
        <v>222</v>
      </c>
      <c r="K20" s="82">
        <v>1</v>
      </c>
      <c r="L20" s="81">
        <f t="shared" si="1"/>
        <v>5</v>
      </c>
      <c r="M20" s="81">
        <f t="shared" si="2"/>
        <v>20</v>
      </c>
      <c r="N20" s="62">
        <v>100</v>
      </c>
      <c r="O20" s="62">
        <v>100</v>
      </c>
      <c r="P20" s="58" t="s">
        <v>229</v>
      </c>
      <c r="Q20" s="65">
        <v>1.1000000000000001E-3</v>
      </c>
      <c r="R20" s="39"/>
      <c r="S20" s="68">
        <v>1.1000000000000001E-3</v>
      </c>
      <c r="T20" s="39"/>
      <c r="U20" s="39"/>
    </row>
    <row r="21" spans="1:21" ht="25.5" x14ac:dyDescent="0.25">
      <c r="A21" s="1"/>
      <c r="B21" s="35">
        <f>ROW(B21) - ROW($B$9)</f>
        <v>12</v>
      </c>
      <c r="C21" s="36" t="s">
        <v>20</v>
      </c>
      <c r="D21" s="36" t="s">
        <v>67</v>
      </c>
      <c r="E21" s="36" t="s">
        <v>103</v>
      </c>
      <c r="F21" s="36" t="s">
        <v>141</v>
      </c>
      <c r="G21" s="72" t="s">
        <v>237</v>
      </c>
      <c r="H21" s="36" t="s">
        <v>159</v>
      </c>
      <c r="I21" s="36" t="s">
        <v>192</v>
      </c>
      <c r="J21" s="48" t="s">
        <v>223</v>
      </c>
      <c r="K21" s="81">
        <v>1</v>
      </c>
      <c r="L21" s="81">
        <f t="shared" si="1"/>
        <v>5</v>
      </c>
      <c r="M21" s="81">
        <f t="shared" si="2"/>
        <v>20</v>
      </c>
      <c r="N21" s="62">
        <v>100</v>
      </c>
      <c r="O21" s="62">
        <v>100</v>
      </c>
      <c r="P21" s="58" t="s">
        <v>229</v>
      </c>
      <c r="Q21" s="65">
        <v>3.7000000000000002E-3</v>
      </c>
      <c r="R21" s="37"/>
      <c r="S21" s="68">
        <v>3.7000000000000002E-3</v>
      </c>
      <c r="T21" s="37"/>
      <c r="U21" s="37"/>
    </row>
    <row r="22" spans="1:21" ht="25.5" x14ac:dyDescent="0.25">
      <c r="A22" s="1"/>
      <c r="B22" s="35">
        <f>ROW(B22) - ROW($B$9)</f>
        <v>13</v>
      </c>
      <c r="C22" s="36" t="s">
        <v>21</v>
      </c>
      <c r="D22" s="36" t="s">
        <v>68</v>
      </c>
      <c r="E22" s="36" t="s">
        <v>103</v>
      </c>
      <c r="F22" s="36" t="s">
        <v>142</v>
      </c>
      <c r="G22" s="72" t="s">
        <v>237</v>
      </c>
      <c r="H22" s="36" t="s">
        <v>159</v>
      </c>
      <c r="I22" s="36" t="s">
        <v>193</v>
      </c>
      <c r="J22" s="48" t="s">
        <v>224</v>
      </c>
      <c r="K22" s="81">
        <v>2</v>
      </c>
      <c r="L22" s="81">
        <f t="shared" si="1"/>
        <v>10</v>
      </c>
      <c r="M22" s="81">
        <f t="shared" si="2"/>
        <v>40</v>
      </c>
      <c r="N22" s="62">
        <v>50</v>
      </c>
      <c r="O22" s="62">
        <v>50</v>
      </c>
      <c r="P22" s="58" t="s">
        <v>229</v>
      </c>
      <c r="Q22" s="65">
        <v>5.1000000000000004E-3</v>
      </c>
      <c r="R22" s="37"/>
      <c r="S22" s="68">
        <v>5.1000000000000004E-3</v>
      </c>
      <c r="T22" s="37"/>
      <c r="U22" s="37"/>
    </row>
    <row r="23" spans="1:21" ht="38.25" x14ac:dyDescent="0.25">
      <c r="A23" s="1"/>
      <c r="B23" s="35">
        <f t="shared" si="0"/>
        <v>14</v>
      </c>
      <c r="C23" s="38" t="s">
        <v>22</v>
      </c>
      <c r="D23" s="38" t="s">
        <v>69</v>
      </c>
      <c r="E23" s="38" t="s">
        <v>103</v>
      </c>
      <c r="F23" s="38" t="s">
        <v>143</v>
      </c>
      <c r="G23" s="72" t="s">
        <v>240</v>
      </c>
      <c r="H23" s="38" t="s">
        <v>159</v>
      </c>
      <c r="I23" s="38" t="s">
        <v>194</v>
      </c>
      <c r="J23" s="48" t="s">
        <v>235</v>
      </c>
      <c r="K23" s="82">
        <v>1</v>
      </c>
      <c r="L23" s="81">
        <f t="shared" si="1"/>
        <v>5</v>
      </c>
      <c r="M23" s="81">
        <f t="shared" si="2"/>
        <v>20</v>
      </c>
      <c r="N23" s="62">
        <v>50</v>
      </c>
      <c r="O23" s="62">
        <v>50</v>
      </c>
      <c r="P23" s="58" t="s">
        <v>229</v>
      </c>
      <c r="Q23" s="65">
        <v>6.1000000000000004E-3</v>
      </c>
      <c r="R23" s="39"/>
      <c r="S23" s="68">
        <v>6.1000000000000004E-3</v>
      </c>
      <c r="T23" s="39"/>
      <c r="U23" s="39"/>
    </row>
    <row r="24" spans="1:21" ht="26.25" thickBot="1" x14ac:dyDescent="0.3">
      <c r="A24" s="1"/>
      <c r="B24" s="35">
        <f>ROW(B24) - ROW($B$9)</f>
        <v>15</v>
      </c>
      <c r="C24" s="36" t="s">
        <v>23</v>
      </c>
      <c r="D24" s="36" t="s">
        <v>70</v>
      </c>
      <c r="E24" s="36" t="s">
        <v>103</v>
      </c>
      <c r="F24" s="36" t="s">
        <v>144</v>
      </c>
      <c r="G24" s="73" t="s">
        <v>237</v>
      </c>
      <c r="H24" s="36" t="s">
        <v>159</v>
      </c>
      <c r="I24" s="36" t="s">
        <v>195</v>
      </c>
      <c r="J24" s="70" t="s">
        <v>236</v>
      </c>
      <c r="K24" s="81">
        <v>1</v>
      </c>
      <c r="L24" s="81">
        <f t="shared" si="1"/>
        <v>5</v>
      </c>
      <c r="M24" s="81">
        <f t="shared" si="2"/>
        <v>20</v>
      </c>
      <c r="N24" s="63">
        <v>50</v>
      </c>
      <c r="O24" s="63">
        <v>50</v>
      </c>
      <c r="P24" s="59" t="s">
        <v>229</v>
      </c>
      <c r="Q24" s="66">
        <v>7.7000000000000002E-3</v>
      </c>
      <c r="R24" s="37"/>
      <c r="S24" s="69">
        <v>7.7000000000000002E-3</v>
      </c>
      <c r="T24" s="37"/>
      <c r="U24" s="37"/>
    </row>
    <row r="25" spans="1:21" ht="51" x14ac:dyDescent="0.25">
      <c r="A25" s="1"/>
      <c r="B25" s="35">
        <f t="shared" si="0"/>
        <v>16</v>
      </c>
      <c r="C25" s="38" t="s">
        <v>24</v>
      </c>
      <c r="D25" s="38" t="s">
        <v>71</v>
      </c>
      <c r="E25" s="83" t="s">
        <v>241</v>
      </c>
      <c r="F25" s="38" t="s">
        <v>105</v>
      </c>
      <c r="G25" s="38"/>
      <c r="H25" s="38" t="s">
        <v>164</v>
      </c>
      <c r="I25" s="38" t="s">
        <v>105</v>
      </c>
      <c r="J25" s="47" t="s">
        <v>242</v>
      </c>
      <c r="K25" s="39">
        <v>1</v>
      </c>
      <c r="L25" s="37">
        <f t="shared" si="1"/>
        <v>5</v>
      </c>
      <c r="M25" s="37">
        <f t="shared" si="2"/>
        <v>20</v>
      </c>
      <c r="N25" s="39">
        <v>10</v>
      </c>
      <c r="O25" s="39">
        <v>20</v>
      </c>
      <c r="P25" s="84" t="s">
        <v>229</v>
      </c>
      <c r="Q25" s="64">
        <v>6.2600000000000003E-2</v>
      </c>
      <c r="R25" s="39"/>
      <c r="S25" s="67">
        <v>6.1699999999999998E-2</v>
      </c>
      <c r="T25" s="39"/>
      <c r="U25" s="39"/>
    </row>
    <row r="26" spans="1:21" ht="26.25" thickBot="1" x14ac:dyDescent="0.3">
      <c r="A26" s="1"/>
      <c r="B26" s="35">
        <f>ROW(B26) - ROW($B$9)</f>
        <v>17</v>
      </c>
      <c r="C26" s="36" t="s">
        <v>25</v>
      </c>
      <c r="D26" s="36" t="s">
        <v>72</v>
      </c>
      <c r="E26" s="36"/>
      <c r="F26" s="36" t="s">
        <v>145</v>
      </c>
      <c r="G26" s="36"/>
      <c r="H26" s="36" t="s">
        <v>165</v>
      </c>
      <c r="I26" s="36" t="s">
        <v>145</v>
      </c>
      <c r="J26" s="44"/>
      <c r="K26" s="37">
        <v>2</v>
      </c>
      <c r="L26" s="37">
        <f t="shared" si="1"/>
        <v>10</v>
      </c>
      <c r="M26" s="37">
        <f t="shared" si="2"/>
        <v>40</v>
      </c>
      <c r="N26" s="37">
        <v>10</v>
      </c>
      <c r="O26" s="37">
        <v>50</v>
      </c>
      <c r="P26" s="37"/>
      <c r="Q26" s="37"/>
      <c r="R26" s="37"/>
      <c r="S26" s="37"/>
      <c r="T26" s="37"/>
      <c r="U26" s="37"/>
    </row>
    <row r="27" spans="1:21" ht="25.5" x14ac:dyDescent="0.25">
      <c r="A27" s="1"/>
      <c r="B27" s="35">
        <f t="shared" si="0"/>
        <v>18</v>
      </c>
      <c r="C27" s="38" t="s">
        <v>26</v>
      </c>
      <c r="D27" s="38" t="s">
        <v>73</v>
      </c>
      <c r="E27" s="38" t="s">
        <v>243</v>
      </c>
      <c r="F27" s="38" t="s">
        <v>146</v>
      </c>
      <c r="G27" s="60" t="s">
        <v>237</v>
      </c>
      <c r="H27" s="38" t="s">
        <v>166</v>
      </c>
      <c r="I27" s="38" t="s">
        <v>146</v>
      </c>
      <c r="J27" s="45"/>
      <c r="K27" s="39">
        <v>1</v>
      </c>
      <c r="L27" s="37">
        <f t="shared" si="1"/>
        <v>5</v>
      </c>
      <c r="M27" s="37">
        <f t="shared" si="2"/>
        <v>20</v>
      </c>
      <c r="N27" s="39"/>
      <c r="O27" s="39"/>
      <c r="P27" s="39"/>
      <c r="Q27" s="39"/>
      <c r="R27" s="39"/>
      <c r="S27" s="39"/>
      <c r="T27" s="39"/>
      <c r="U27" s="39"/>
    </row>
    <row r="28" spans="1:21" ht="63.75" x14ac:dyDescent="0.25">
      <c r="A28" s="1"/>
      <c r="B28" s="35">
        <f>ROW(B28) - ROW($B$9)</f>
        <v>19</v>
      </c>
      <c r="C28" s="36" t="s">
        <v>27</v>
      </c>
      <c r="D28" s="36" t="s">
        <v>74</v>
      </c>
      <c r="E28" s="36" t="s">
        <v>243</v>
      </c>
      <c r="F28" s="36"/>
      <c r="G28" s="61" t="s">
        <v>237</v>
      </c>
      <c r="H28" s="36" t="s">
        <v>167</v>
      </c>
      <c r="I28" s="36" t="s">
        <v>106</v>
      </c>
      <c r="J28" s="44"/>
      <c r="K28" s="37">
        <v>1</v>
      </c>
      <c r="L28" s="37">
        <f t="shared" si="1"/>
        <v>5</v>
      </c>
      <c r="M28" s="37">
        <f t="shared" si="2"/>
        <v>20</v>
      </c>
      <c r="N28" s="37"/>
      <c r="O28" s="37"/>
      <c r="P28" s="37"/>
      <c r="Q28" s="37"/>
      <c r="R28" s="37"/>
      <c r="S28" s="37"/>
      <c r="T28" s="37"/>
      <c r="U28" s="37"/>
    </row>
    <row r="29" spans="1:21" x14ac:dyDescent="0.25">
      <c r="A29" s="1"/>
      <c r="B29" s="35">
        <f t="shared" si="0"/>
        <v>20</v>
      </c>
      <c r="C29" s="38" t="s">
        <v>28</v>
      </c>
      <c r="D29" s="38" t="s">
        <v>75</v>
      </c>
      <c r="E29" s="38" t="s">
        <v>243</v>
      </c>
      <c r="F29" s="38"/>
      <c r="G29" s="61" t="s">
        <v>244</v>
      </c>
      <c r="H29" s="38"/>
      <c r="I29" s="38" t="s">
        <v>107</v>
      </c>
      <c r="J29" s="45"/>
      <c r="K29" s="39">
        <v>1</v>
      </c>
      <c r="L29" s="37">
        <f t="shared" si="1"/>
        <v>5</v>
      </c>
      <c r="M29" s="37">
        <f t="shared" si="2"/>
        <v>20</v>
      </c>
      <c r="N29" s="39"/>
      <c r="O29" s="39"/>
      <c r="P29" s="39"/>
      <c r="Q29" s="39"/>
      <c r="R29" s="39"/>
      <c r="S29" s="39"/>
      <c r="T29" s="39"/>
      <c r="U29" s="39"/>
    </row>
    <row r="30" spans="1:21" ht="25.5" x14ac:dyDescent="0.25">
      <c r="A30" s="1"/>
      <c r="B30" s="35">
        <f>ROW(B30) - ROW($B$9)</f>
        <v>21</v>
      </c>
      <c r="C30" s="36" t="s">
        <v>29</v>
      </c>
      <c r="D30" s="36" t="s">
        <v>76</v>
      </c>
      <c r="E30" s="36" t="s">
        <v>243</v>
      </c>
      <c r="F30" s="36" t="s">
        <v>108</v>
      </c>
      <c r="G30" s="85" t="s">
        <v>240</v>
      </c>
      <c r="H30" s="36" t="s">
        <v>168</v>
      </c>
      <c r="I30" s="36" t="s">
        <v>108</v>
      </c>
      <c r="J30" s="44"/>
      <c r="K30" s="37">
        <v>1</v>
      </c>
      <c r="L30" s="37">
        <f t="shared" si="1"/>
        <v>5</v>
      </c>
      <c r="M30" s="37">
        <f t="shared" si="2"/>
        <v>20</v>
      </c>
      <c r="N30" s="37"/>
      <c r="O30" s="37"/>
      <c r="P30" s="37"/>
      <c r="Q30" s="37"/>
      <c r="R30" s="37"/>
      <c r="S30" s="37"/>
      <c r="T30" s="37"/>
      <c r="U30" s="37"/>
    </row>
    <row r="31" spans="1:21" ht="25.5" x14ac:dyDescent="0.25">
      <c r="A31" s="1"/>
      <c r="B31" s="35">
        <f t="shared" si="0"/>
        <v>22</v>
      </c>
      <c r="C31" s="38" t="s">
        <v>30</v>
      </c>
      <c r="D31" s="38" t="s">
        <v>77</v>
      </c>
      <c r="E31" s="38" t="s">
        <v>109</v>
      </c>
      <c r="F31" s="38"/>
      <c r="G31" s="38"/>
      <c r="H31" s="38" t="s">
        <v>169</v>
      </c>
      <c r="I31" s="38" t="s">
        <v>196</v>
      </c>
      <c r="J31" s="45"/>
      <c r="K31" s="39">
        <v>1</v>
      </c>
      <c r="L31" s="37">
        <f t="shared" si="1"/>
        <v>5</v>
      </c>
      <c r="M31" s="37">
        <f t="shared" si="2"/>
        <v>20</v>
      </c>
      <c r="N31" s="39"/>
      <c r="O31" s="39"/>
      <c r="P31" s="39"/>
      <c r="Q31" s="39"/>
      <c r="R31" s="39"/>
      <c r="S31" s="39"/>
      <c r="T31" s="39"/>
      <c r="U31" s="39"/>
    </row>
    <row r="32" spans="1:21" ht="25.5" x14ac:dyDescent="0.25">
      <c r="A32" s="1"/>
      <c r="B32" s="35">
        <f>ROW(B32) - ROW($B$9)</f>
        <v>23</v>
      </c>
      <c r="C32" s="36" t="s">
        <v>31</v>
      </c>
      <c r="D32" s="36" t="s">
        <v>78</v>
      </c>
      <c r="E32" s="36" t="s">
        <v>109</v>
      </c>
      <c r="F32" s="36" t="s">
        <v>147</v>
      </c>
      <c r="G32" s="36"/>
      <c r="H32" s="36" t="s">
        <v>163</v>
      </c>
      <c r="I32" s="36" t="s">
        <v>197</v>
      </c>
      <c r="J32" s="44"/>
      <c r="K32" s="37">
        <v>2</v>
      </c>
      <c r="L32" s="37">
        <f t="shared" si="1"/>
        <v>10</v>
      </c>
      <c r="M32" s="37">
        <f t="shared" si="2"/>
        <v>40</v>
      </c>
      <c r="N32" s="37"/>
      <c r="O32" s="37"/>
      <c r="P32" s="37"/>
      <c r="Q32" s="37"/>
      <c r="R32" s="37"/>
      <c r="S32" s="37"/>
      <c r="T32" s="37"/>
      <c r="U32" s="37"/>
    </row>
    <row r="33" spans="1:21" ht="25.5" x14ac:dyDescent="0.25">
      <c r="A33" s="1"/>
      <c r="B33" s="35">
        <f t="shared" si="0"/>
        <v>24</v>
      </c>
      <c r="C33" s="38" t="s">
        <v>32</v>
      </c>
      <c r="D33" s="38" t="s">
        <v>79</v>
      </c>
      <c r="E33" s="38" t="s">
        <v>110</v>
      </c>
      <c r="F33" s="38" t="s">
        <v>148</v>
      </c>
      <c r="G33" s="38"/>
      <c r="H33" s="38" t="s">
        <v>163</v>
      </c>
      <c r="I33" s="38" t="s">
        <v>198</v>
      </c>
      <c r="J33" s="45"/>
      <c r="K33" s="39">
        <v>2</v>
      </c>
      <c r="L33" s="37">
        <f t="shared" si="1"/>
        <v>10</v>
      </c>
      <c r="M33" s="37">
        <f t="shared" si="2"/>
        <v>40</v>
      </c>
      <c r="N33" s="39"/>
      <c r="O33" s="39"/>
      <c r="P33" s="39"/>
      <c r="Q33" s="39"/>
      <c r="R33" s="39"/>
      <c r="S33" s="39"/>
      <c r="T33" s="39"/>
      <c r="U33" s="39"/>
    </row>
    <row r="34" spans="1:21" ht="25.5" x14ac:dyDescent="0.25">
      <c r="A34" s="1"/>
      <c r="B34" s="35">
        <f>ROW(B34) - ROW($B$9)</f>
        <v>25</v>
      </c>
      <c r="C34" s="36" t="s">
        <v>33</v>
      </c>
      <c r="D34" s="36" t="s">
        <v>80</v>
      </c>
      <c r="E34" s="36" t="s">
        <v>111</v>
      </c>
      <c r="F34" s="36"/>
      <c r="G34" s="36"/>
      <c r="H34" s="36"/>
      <c r="I34" s="36" t="s">
        <v>199</v>
      </c>
      <c r="J34" s="44"/>
      <c r="K34" s="37">
        <v>1</v>
      </c>
      <c r="L34" s="37">
        <f t="shared" si="1"/>
        <v>5</v>
      </c>
      <c r="M34" s="37">
        <f t="shared" si="2"/>
        <v>20</v>
      </c>
      <c r="N34" s="37"/>
      <c r="O34" s="37"/>
      <c r="P34" s="37"/>
      <c r="Q34" s="37"/>
      <c r="R34" s="37"/>
      <c r="S34" s="37"/>
      <c r="T34" s="37"/>
      <c r="U34" s="37"/>
    </row>
    <row r="35" spans="1:21" ht="25.5" x14ac:dyDescent="0.25">
      <c r="A35" s="1"/>
      <c r="B35" s="35">
        <f t="shared" si="0"/>
        <v>26</v>
      </c>
      <c r="C35" s="38" t="s">
        <v>34</v>
      </c>
      <c r="D35" s="38" t="s">
        <v>81</v>
      </c>
      <c r="E35" s="38" t="s">
        <v>112</v>
      </c>
      <c r="F35" s="38" t="s">
        <v>112</v>
      </c>
      <c r="G35" s="38"/>
      <c r="H35" s="38" t="s">
        <v>170</v>
      </c>
      <c r="I35" s="38" t="s">
        <v>112</v>
      </c>
      <c r="J35" s="45"/>
      <c r="K35" s="39">
        <v>8</v>
      </c>
      <c r="L35" s="37">
        <f t="shared" si="1"/>
        <v>40</v>
      </c>
      <c r="M35" s="37">
        <f t="shared" si="2"/>
        <v>160</v>
      </c>
      <c r="N35" s="39"/>
      <c r="O35" s="39"/>
      <c r="P35" s="39"/>
      <c r="Q35" s="39"/>
      <c r="R35" s="39"/>
      <c r="S35" s="39"/>
      <c r="T35" s="39"/>
      <c r="U35" s="39"/>
    </row>
    <row r="36" spans="1:21" ht="25.5" x14ac:dyDescent="0.25">
      <c r="A36" s="1"/>
      <c r="B36" s="35">
        <f>ROW(B36) - ROW($B$9)</f>
        <v>27</v>
      </c>
      <c r="C36" s="36" t="s">
        <v>35</v>
      </c>
      <c r="D36" s="36" t="s">
        <v>82</v>
      </c>
      <c r="E36" s="36" t="s">
        <v>113</v>
      </c>
      <c r="F36" s="36">
        <v>61300611121</v>
      </c>
      <c r="G36" s="36"/>
      <c r="H36" s="36" t="s">
        <v>171</v>
      </c>
      <c r="I36" s="36">
        <v>61300611121</v>
      </c>
      <c r="J36" s="44"/>
      <c r="K36" s="37">
        <v>1</v>
      </c>
      <c r="L36" s="37">
        <f t="shared" si="1"/>
        <v>5</v>
      </c>
      <c r="M36" s="37">
        <f t="shared" si="2"/>
        <v>20</v>
      </c>
      <c r="N36" s="37"/>
      <c r="O36" s="37"/>
      <c r="P36" s="37"/>
      <c r="Q36" s="37"/>
      <c r="R36" s="37"/>
      <c r="S36" s="37"/>
      <c r="T36" s="37"/>
      <c r="U36" s="37"/>
    </row>
    <row r="37" spans="1:21" ht="25.5" x14ac:dyDescent="0.25">
      <c r="A37" s="1"/>
      <c r="B37" s="35">
        <f t="shared" si="0"/>
        <v>28</v>
      </c>
      <c r="C37" s="38" t="s">
        <v>36</v>
      </c>
      <c r="D37" s="38" t="s">
        <v>83</v>
      </c>
      <c r="E37" s="38" t="s">
        <v>114</v>
      </c>
      <c r="F37" s="38" t="s">
        <v>149</v>
      </c>
      <c r="G37" s="38"/>
      <c r="H37" s="38" t="s">
        <v>166</v>
      </c>
      <c r="I37" s="38" t="s">
        <v>200</v>
      </c>
      <c r="J37" s="45"/>
      <c r="K37" s="39">
        <v>3</v>
      </c>
      <c r="L37" s="37">
        <f t="shared" si="1"/>
        <v>15</v>
      </c>
      <c r="M37" s="37">
        <f t="shared" si="2"/>
        <v>60</v>
      </c>
      <c r="N37" s="39"/>
      <c r="O37" s="39"/>
      <c r="P37" s="39"/>
      <c r="Q37" s="39"/>
      <c r="R37" s="39"/>
      <c r="S37" s="39"/>
      <c r="T37" s="39"/>
      <c r="U37" s="39"/>
    </row>
    <row r="38" spans="1:21" ht="38.25" x14ac:dyDescent="0.25">
      <c r="A38" s="1"/>
      <c r="B38" s="35">
        <f>ROW(B38) - ROW($B$9)</f>
        <v>29</v>
      </c>
      <c r="C38" s="36" t="s">
        <v>37</v>
      </c>
      <c r="D38" s="36" t="s">
        <v>84</v>
      </c>
      <c r="E38" s="36" t="s">
        <v>114</v>
      </c>
      <c r="F38" s="36" t="s">
        <v>150</v>
      </c>
      <c r="G38" s="36"/>
      <c r="H38" s="36" t="s">
        <v>159</v>
      </c>
      <c r="I38" s="36" t="s">
        <v>201</v>
      </c>
      <c r="J38" s="44"/>
      <c r="K38" s="37">
        <v>1</v>
      </c>
      <c r="L38" s="37">
        <f t="shared" si="1"/>
        <v>5</v>
      </c>
      <c r="M38" s="37">
        <f t="shared" si="2"/>
        <v>20</v>
      </c>
      <c r="N38" s="37"/>
      <c r="O38" s="37"/>
      <c r="P38" s="37"/>
      <c r="Q38" s="37"/>
      <c r="R38" s="37"/>
      <c r="S38" s="37"/>
      <c r="T38" s="37"/>
      <c r="U38" s="37"/>
    </row>
    <row r="39" spans="1:21" ht="25.5" x14ac:dyDescent="0.25">
      <c r="A39" s="1"/>
      <c r="B39" s="35">
        <f t="shared" si="0"/>
        <v>30</v>
      </c>
      <c r="C39" s="38" t="s">
        <v>38</v>
      </c>
      <c r="D39" s="38" t="s">
        <v>85</v>
      </c>
      <c r="E39" s="38" t="s">
        <v>114</v>
      </c>
      <c r="F39" s="38"/>
      <c r="G39" s="38"/>
      <c r="H39" s="38"/>
      <c r="I39" s="38" t="s">
        <v>202</v>
      </c>
      <c r="J39" s="45"/>
      <c r="K39" s="39">
        <v>1</v>
      </c>
      <c r="L39" s="37">
        <f t="shared" si="1"/>
        <v>5</v>
      </c>
      <c r="M39" s="37">
        <f t="shared" si="2"/>
        <v>20</v>
      </c>
      <c r="N39" s="39"/>
      <c r="O39" s="39"/>
      <c r="P39" s="39"/>
      <c r="Q39" s="39"/>
      <c r="R39" s="39"/>
      <c r="S39" s="39"/>
      <c r="T39" s="39"/>
      <c r="U39" s="39"/>
    </row>
    <row r="40" spans="1:21" ht="25.5" x14ac:dyDescent="0.25">
      <c r="A40" s="1"/>
      <c r="B40" s="35">
        <f>ROW(B40) - ROW($B$9)</f>
        <v>31</v>
      </c>
      <c r="C40" s="36" t="s">
        <v>39</v>
      </c>
      <c r="D40" s="36" t="s">
        <v>86</v>
      </c>
      <c r="E40" s="36" t="s">
        <v>114</v>
      </c>
      <c r="F40" s="36" t="s">
        <v>151</v>
      </c>
      <c r="G40" s="36"/>
      <c r="H40" s="36" t="s">
        <v>159</v>
      </c>
      <c r="I40" s="36" t="s">
        <v>203</v>
      </c>
      <c r="J40" s="44"/>
      <c r="K40" s="37">
        <v>4</v>
      </c>
      <c r="L40" s="37">
        <f t="shared" si="1"/>
        <v>20</v>
      </c>
      <c r="M40" s="37">
        <f t="shared" si="2"/>
        <v>80</v>
      </c>
      <c r="N40" s="37"/>
      <c r="O40" s="37"/>
      <c r="P40" s="37"/>
      <c r="Q40" s="37"/>
      <c r="R40" s="37"/>
      <c r="S40" s="37"/>
      <c r="T40" s="37"/>
      <c r="U40" s="37"/>
    </row>
    <row r="41" spans="1:21" ht="25.5" x14ac:dyDescent="0.25">
      <c r="A41" s="1"/>
      <c r="B41" s="35">
        <f t="shared" si="0"/>
        <v>32</v>
      </c>
      <c r="C41" s="38" t="s">
        <v>40</v>
      </c>
      <c r="D41" s="38" t="s">
        <v>87</v>
      </c>
      <c r="E41" s="38" t="s">
        <v>114</v>
      </c>
      <c r="F41" s="38" t="s">
        <v>152</v>
      </c>
      <c r="G41" s="38"/>
      <c r="H41" s="38" t="s">
        <v>159</v>
      </c>
      <c r="I41" s="38" t="s">
        <v>204</v>
      </c>
      <c r="J41" s="45"/>
      <c r="K41" s="39">
        <v>2</v>
      </c>
      <c r="L41" s="37">
        <f t="shared" si="1"/>
        <v>10</v>
      </c>
      <c r="M41" s="37">
        <f t="shared" si="2"/>
        <v>40</v>
      </c>
      <c r="N41" s="39"/>
      <c r="O41" s="39"/>
      <c r="P41" s="39"/>
      <c r="Q41" s="39"/>
      <c r="R41" s="39"/>
      <c r="S41" s="39"/>
      <c r="T41" s="39"/>
      <c r="U41" s="39"/>
    </row>
    <row r="42" spans="1:21" ht="102" x14ac:dyDescent="0.25">
      <c r="A42" s="1"/>
      <c r="B42" s="35">
        <f>ROW(B42) - ROW($B$9)</f>
        <v>33</v>
      </c>
      <c r="C42" s="36" t="s">
        <v>41</v>
      </c>
      <c r="D42" s="36" t="s">
        <v>88</v>
      </c>
      <c r="E42" s="36" t="s">
        <v>115</v>
      </c>
      <c r="F42" s="36"/>
      <c r="G42" s="36"/>
      <c r="H42" s="36"/>
      <c r="I42" s="36" t="s">
        <v>115</v>
      </c>
      <c r="J42" s="44"/>
      <c r="K42" s="37">
        <v>55</v>
      </c>
      <c r="L42" s="37">
        <f t="shared" si="1"/>
        <v>275</v>
      </c>
      <c r="M42" s="37">
        <f t="shared" si="2"/>
        <v>1100</v>
      </c>
      <c r="N42" s="37"/>
      <c r="O42" s="37"/>
      <c r="P42" s="37"/>
      <c r="Q42" s="37"/>
      <c r="R42" s="37"/>
      <c r="S42" s="37"/>
      <c r="T42" s="37"/>
      <c r="U42" s="37"/>
    </row>
    <row r="43" spans="1:21" ht="51" x14ac:dyDescent="0.25">
      <c r="A43" s="1"/>
      <c r="B43" s="35">
        <f t="shared" si="0"/>
        <v>34</v>
      </c>
      <c r="C43" s="38" t="s">
        <v>42</v>
      </c>
      <c r="D43" s="38" t="s">
        <v>89</v>
      </c>
      <c r="E43" s="38" t="s">
        <v>116</v>
      </c>
      <c r="F43" s="38"/>
      <c r="G43" s="38"/>
      <c r="H43" s="38" t="s">
        <v>167</v>
      </c>
      <c r="I43" s="38" t="s">
        <v>116</v>
      </c>
      <c r="J43" s="45"/>
      <c r="K43" s="39">
        <v>1</v>
      </c>
      <c r="L43" s="37">
        <f t="shared" si="1"/>
        <v>5</v>
      </c>
      <c r="M43" s="37">
        <f t="shared" si="2"/>
        <v>20</v>
      </c>
      <c r="N43" s="39"/>
      <c r="O43" s="39"/>
      <c r="P43" s="39"/>
      <c r="Q43" s="39"/>
      <c r="R43" s="39"/>
      <c r="S43" s="39"/>
      <c r="T43" s="39"/>
      <c r="U43" s="39"/>
    </row>
    <row r="44" spans="1:21" ht="25.5" x14ac:dyDescent="0.25">
      <c r="A44" s="1"/>
      <c r="B44" s="35">
        <f>ROW(B44) - ROW($B$9)</f>
        <v>35</v>
      </c>
      <c r="C44" s="36" t="s">
        <v>43</v>
      </c>
      <c r="D44" s="36" t="s">
        <v>90</v>
      </c>
      <c r="E44" s="36" t="s">
        <v>117</v>
      </c>
      <c r="F44" s="36" t="s">
        <v>153</v>
      </c>
      <c r="G44" s="36"/>
      <c r="H44" s="36" t="s">
        <v>165</v>
      </c>
      <c r="I44" s="36" t="s">
        <v>153</v>
      </c>
      <c r="J44" s="44"/>
      <c r="K44" s="37">
        <v>2</v>
      </c>
      <c r="L44" s="37">
        <f t="shared" si="1"/>
        <v>10</v>
      </c>
      <c r="M44" s="37">
        <f t="shared" si="2"/>
        <v>40</v>
      </c>
      <c r="N44" s="37"/>
      <c r="O44" s="37"/>
      <c r="P44" s="37"/>
      <c r="Q44" s="37"/>
      <c r="R44" s="37"/>
      <c r="S44" s="37"/>
      <c r="T44" s="37"/>
      <c r="U44" s="37"/>
    </row>
    <row r="45" spans="1:21" ht="51" x14ac:dyDescent="0.25">
      <c r="A45" s="1"/>
      <c r="B45" s="35">
        <f t="shared" si="0"/>
        <v>36</v>
      </c>
      <c r="C45" s="38" t="s">
        <v>44</v>
      </c>
      <c r="D45" s="38" t="s">
        <v>91</v>
      </c>
      <c r="E45" s="38" t="s">
        <v>118</v>
      </c>
      <c r="F45" s="38" t="s">
        <v>154</v>
      </c>
      <c r="G45" s="38"/>
      <c r="H45" s="38" t="s">
        <v>172</v>
      </c>
      <c r="I45" s="38" t="s">
        <v>154</v>
      </c>
      <c r="J45" s="45"/>
      <c r="K45" s="39">
        <v>1</v>
      </c>
      <c r="L45" s="37">
        <f t="shared" si="1"/>
        <v>5</v>
      </c>
      <c r="M45" s="37">
        <f t="shared" si="2"/>
        <v>20</v>
      </c>
      <c r="N45" s="39"/>
      <c r="O45" s="39"/>
      <c r="P45" s="39"/>
      <c r="Q45" s="39"/>
      <c r="R45" s="39"/>
      <c r="S45" s="39"/>
      <c r="T45" s="39"/>
      <c r="U45" s="39"/>
    </row>
    <row r="46" spans="1:21" ht="25.5" x14ac:dyDescent="0.25">
      <c r="A46" s="1"/>
      <c r="B46" s="35">
        <f>ROW(B46) - ROW($B$9)</f>
        <v>37</v>
      </c>
      <c r="C46" s="36" t="s">
        <v>45</v>
      </c>
      <c r="D46" s="36" t="s">
        <v>92</v>
      </c>
      <c r="E46" s="36" t="s">
        <v>119</v>
      </c>
      <c r="F46" s="36" t="s">
        <v>155</v>
      </c>
      <c r="G46" s="36"/>
      <c r="H46" s="36" t="s">
        <v>165</v>
      </c>
      <c r="I46" s="36" t="s">
        <v>155</v>
      </c>
      <c r="J46" s="44"/>
      <c r="K46" s="37">
        <v>1</v>
      </c>
      <c r="L46" s="37">
        <f t="shared" si="1"/>
        <v>5</v>
      </c>
      <c r="M46" s="37">
        <f t="shared" si="2"/>
        <v>20</v>
      </c>
      <c r="N46" s="37"/>
      <c r="O46" s="37"/>
      <c r="P46" s="37"/>
      <c r="Q46" s="37"/>
      <c r="R46" s="37"/>
      <c r="S46" s="37"/>
      <c r="T46" s="37"/>
      <c r="U46" s="37"/>
    </row>
    <row r="47" spans="1:21" ht="25.5" x14ac:dyDescent="0.25">
      <c r="A47" s="1"/>
      <c r="B47" s="35">
        <f t="shared" si="0"/>
        <v>38</v>
      </c>
      <c r="C47" s="38" t="s">
        <v>46</v>
      </c>
      <c r="D47" s="38" t="s">
        <v>93</v>
      </c>
      <c r="E47" s="38" t="s">
        <v>120</v>
      </c>
      <c r="F47" s="38" t="s">
        <v>120</v>
      </c>
      <c r="G47" s="38"/>
      <c r="H47" s="38" t="s">
        <v>165</v>
      </c>
      <c r="I47" s="38" t="s">
        <v>120</v>
      </c>
      <c r="J47" s="45"/>
      <c r="K47" s="39">
        <v>2</v>
      </c>
      <c r="L47" s="37">
        <f t="shared" si="1"/>
        <v>10</v>
      </c>
      <c r="M47" s="37">
        <f t="shared" si="2"/>
        <v>40</v>
      </c>
      <c r="N47" s="39"/>
      <c r="O47" s="39"/>
      <c r="P47" s="39"/>
      <c r="Q47" s="39"/>
      <c r="R47" s="39"/>
      <c r="S47" s="39"/>
      <c r="T47" s="39"/>
      <c r="U47" s="39"/>
    </row>
    <row r="48" spans="1:21" ht="25.5" x14ac:dyDescent="0.25">
      <c r="A48" s="1"/>
      <c r="B48" s="35">
        <f>ROW(B48) - ROW($B$9)</f>
        <v>39</v>
      </c>
      <c r="C48" s="36" t="s">
        <v>47</v>
      </c>
      <c r="D48" s="36" t="s">
        <v>94</v>
      </c>
      <c r="E48" s="36" t="s">
        <v>121</v>
      </c>
      <c r="F48" s="36" t="s">
        <v>121</v>
      </c>
      <c r="G48" s="36"/>
      <c r="H48" s="36" t="s">
        <v>173</v>
      </c>
      <c r="I48" s="36" t="s">
        <v>121</v>
      </c>
      <c r="J48" s="44"/>
      <c r="K48" s="37">
        <v>1</v>
      </c>
      <c r="L48" s="37">
        <f t="shared" si="1"/>
        <v>5</v>
      </c>
      <c r="M48" s="37">
        <f t="shared" si="2"/>
        <v>20</v>
      </c>
      <c r="N48" s="37"/>
      <c r="O48" s="37"/>
      <c r="P48" s="37"/>
      <c r="Q48" s="37"/>
      <c r="R48" s="37"/>
      <c r="S48" s="37"/>
      <c r="T48" s="37"/>
      <c r="U48" s="37"/>
    </row>
    <row r="49" spans="1:21" ht="25.5" x14ac:dyDescent="0.25">
      <c r="A49" s="1"/>
      <c r="B49" s="35">
        <f t="shared" si="0"/>
        <v>40</v>
      </c>
      <c r="C49" s="38" t="s">
        <v>48</v>
      </c>
      <c r="D49" s="38" t="s">
        <v>95</v>
      </c>
      <c r="E49" s="38" t="s">
        <v>122</v>
      </c>
      <c r="F49" s="38" t="s">
        <v>156</v>
      </c>
      <c r="G49" s="38"/>
      <c r="H49" s="38" t="s">
        <v>174</v>
      </c>
      <c r="I49" s="38" t="s">
        <v>156</v>
      </c>
      <c r="J49" s="45"/>
      <c r="K49" s="39">
        <v>1</v>
      </c>
      <c r="L49" s="37">
        <f t="shared" si="1"/>
        <v>5</v>
      </c>
      <c r="M49" s="37">
        <f t="shared" si="2"/>
        <v>20</v>
      </c>
      <c r="N49" s="39"/>
      <c r="O49" s="39"/>
      <c r="P49" s="39"/>
      <c r="Q49" s="39"/>
      <c r="R49" s="39"/>
      <c r="S49" s="39"/>
      <c r="T49" s="39"/>
      <c r="U49" s="39"/>
    </row>
    <row r="50" spans="1:21" ht="25.5" x14ac:dyDescent="0.25">
      <c r="A50" s="1"/>
      <c r="B50" s="35">
        <f>ROW(B50) - ROW($B$9)</f>
        <v>41</v>
      </c>
      <c r="C50" s="36" t="s">
        <v>49</v>
      </c>
      <c r="D50" s="36" t="s">
        <v>96</v>
      </c>
      <c r="E50" s="36" t="s">
        <v>123</v>
      </c>
      <c r="F50" s="36" t="s">
        <v>123</v>
      </c>
      <c r="G50" s="36"/>
      <c r="H50" s="36" t="s">
        <v>175</v>
      </c>
      <c r="I50" s="36" t="s">
        <v>123</v>
      </c>
      <c r="J50" s="44"/>
      <c r="K50" s="37">
        <v>1</v>
      </c>
      <c r="L50" s="37">
        <f t="shared" si="1"/>
        <v>5</v>
      </c>
      <c r="M50" s="37">
        <f t="shared" si="2"/>
        <v>20</v>
      </c>
      <c r="N50" s="37"/>
      <c r="O50" s="37"/>
      <c r="P50" s="37"/>
      <c r="Q50" s="37"/>
      <c r="R50" s="37"/>
      <c r="S50" s="37"/>
      <c r="T50" s="37"/>
      <c r="U50" s="37"/>
    </row>
    <row r="51" spans="1:21" ht="25.5" x14ac:dyDescent="0.25">
      <c r="A51" s="1"/>
      <c r="B51" s="35">
        <f t="shared" si="0"/>
        <v>42</v>
      </c>
      <c r="C51" s="38" t="s">
        <v>50</v>
      </c>
      <c r="D51" s="38" t="s">
        <v>97</v>
      </c>
      <c r="E51" s="38" t="s">
        <v>124</v>
      </c>
      <c r="F51" s="38">
        <v>4677</v>
      </c>
      <c r="G51" s="38"/>
      <c r="H51" s="38" t="s">
        <v>176</v>
      </c>
      <c r="I51" s="38" t="s">
        <v>205</v>
      </c>
      <c r="J51" s="45"/>
      <c r="K51" s="39">
        <v>1</v>
      </c>
      <c r="L51" s="37">
        <f t="shared" si="1"/>
        <v>5</v>
      </c>
      <c r="M51" s="37">
        <f t="shared" si="2"/>
        <v>20</v>
      </c>
      <c r="N51" s="39"/>
      <c r="O51" s="39"/>
      <c r="P51" s="39"/>
      <c r="Q51" s="39"/>
      <c r="R51" s="39"/>
      <c r="S51" s="39"/>
      <c r="T51" s="39"/>
      <c r="U51" s="39"/>
    </row>
    <row r="52" spans="1:21" ht="63.75" x14ac:dyDescent="0.25">
      <c r="A52" s="1"/>
      <c r="B52" s="35">
        <f>ROW(B52) - ROW($B$9)</f>
        <v>43</v>
      </c>
      <c r="C52" s="36" t="s">
        <v>51</v>
      </c>
      <c r="D52" s="36" t="s">
        <v>98</v>
      </c>
      <c r="E52" s="36" t="s">
        <v>125</v>
      </c>
      <c r="F52" s="36"/>
      <c r="G52" s="36"/>
      <c r="H52" s="36" t="s">
        <v>177</v>
      </c>
      <c r="I52" s="36" t="s">
        <v>125</v>
      </c>
      <c r="J52" s="44"/>
      <c r="K52" s="37">
        <v>1</v>
      </c>
      <c r="L52" s="37">
        <f t="shared" si="1"/>
        <v>5</v>
      </c>
      <c r="M52" s="37">
        <f t="shared" si="2"/>
        <v>20</v>
      </c>
      <c r="N52" s="37"/>
      <c r="O52" s="37"/>
      <c r="P52" s="37"/>
      <c r="Q52" s="37"/>
      <c r="R52" s="37"/>
      <c r="S52" s="37"/>
      <c r="T52" s="37"/>
      <c r="U52" s="37"/>
    </row>
    <row r="53" spans="1:21" ht="76.5" x14ac:dyDescent="0.25">
      <c r="A53" s="1"/>
      <c r="B53" s="35">
        <f t="shared" si="0"/>
        <v>44</v>
      </c>
      <c r="C53" s="38" t="s">
        <v>52</v>
      </c>
      <c r="D53" s="38" t="s">
        <v>99</v>
      </c>
      <c r="E53" s="38" t="s">
        <v>126</v>
      </c>
      <c r="F53" s="38"/>
      <c r="G53" s="38"/>
      <c r="H53" s="38" t="s">
        <v>178</v>
      </c>
      <c r="I53" s="38" t="s">
        <v>126</v>
      </c>
      <c r="J53" s="45"/>
      <c r="K53" s="39">
        <v>1</v>
      </c>
      <c r="L53" s="37">
        <f t="shared" si="1"/>
        <v>5</v>
      </c>
      <c r="M53" s="37">
        <f t="shared" si="2"/>
        <v>20</v>
      </c>
      <c r="N53" s="39"/>
      <c r="O53" s="39"/>
      <c r="P53" s="39"/>
      <c r="Q53" s="39"/>
      <c r="R53" s="39"/>
      <c r="S53" s="39"/>
      <c r="T53" s="39"/>
      <c r="U53" s="39"/>
    </row>
    <row r="54" spans="1:21" ht="63.75" x14ac:dyDescent="0.25">
      <c r="A54" s="1"/>
      <c r="B54" s="35">
        <f>ROW(B54) - ROW($B$9)</f>
        <v>45</v>
      </c>
      <c r="C54" s="36" t="s">
        <v>53</v>
      </c>
      <c r="D54" s="36" t="s">
        <v>100</v>
      </c>
      <c r="E54" s="36" t="s">
        <v>127</v>
      </c>
      <c r="F54" s="36"/>
      <c r="G54" s="36"/>
      <c r="H54" s="36"/>
      <c r="I54" s="36" t="s">
        <v>127</v>
      </c>
      <c r="J54" s="44"/>
      <c r="K54" s="37">
        <v>2</v>
      </c>
      <c r="L54" s="37">
        <f t="shared" si="1"/>
        <v>10</v>
      </c>
      <c r="M54" s="37">
        <f t="shared" si="2"/>
        <v>40</v>
      </c>
      <c r="N54" s="37"/>
      <c r="O54" s="37"/>
      <c r="P54" s="37"/>
      <c r="Q54" s="37"/>
      <c r="R54" s="37"/>
      <c r="S54" s="37"/>
      <c r="T54" s="37"/>
      <c r="U54" s="37"/>
    </row>
    <row r="55" spans="1:21" ht="63.75" x14ac:dyDescent="0.25">
      <c r="A55" s="1"/>
      <c r="B55" s="35">
        <f t="shared" si="0"/>
        <v>46</v>
      </c>
      <c r="C55" s="38" t="s">
        <v>54</v>
      </c>
      <c r="D55" s="38" t="s">
        <v>101</v>
      </c>
      <c r="E55" s="38" t="s">
        <v>128</v>
      </c>
      <c r="F55" s="38"/>
      <c r="G55" s="38"/>
      <c r="H55" s="38" t="s">
        <v>179</v>
      </c>
      <c r="I55" s="38" t="s">
        <v>128</v>
      </c>
      <c r="J55" s="45"/>
      <c r="K55" s="39">
        <v>1</v>
      </c>
      <c r="L55" s="37">
        <f t="shared" si="1"/>
        <v>5</v>
      </c>
      <c r="M55" s="37">
        <f t="shared" si="2"/>
        <v>20</v>
      </c>
      <c r="N55" s="39"/>
      <c r="O55" s="39"/>
      <c r="P55" s="39"/>
      <c r="Q55" s="39"/>
      <c r="R55" s="39"/>
      <c r="S55" s="39"/>
      <c r="T55" s="39"/>
      <c r="U55" s="39"/>
    </row>
    <row r="56" spans="1:21" x14ac:dyDescent="0.25">
      <c r="A56" s="1"/>
      <c r="B56" s="25"/>
      <c r="C56" s="23" t="s">
        <v>5</v>
      </c>
      <c r="D56" s="24"/>
      <c r="E56" s="40"/>
      <c r="F56" s="41"/>
      <c r="G56" s="41"/>
      <c r="H56" s="40"/>
      <c r="I56" s="41"/>
      <c r="J56" s="41"/>
      <c r="K56" s="41"/>
      <c r="L56" s="42"/>
      <c r="M56" s="42"/>
      <c r="N56" s="42"/>
      <c r="O56" s="42"/>
      <c r="P56" s="42"/>
      <c r="Q56" s="42"/>
      <c r="R56" s="42"/>
      <c r="S56" s="42"/>
      <c r="T56" s="42"/>
      <c r="U56" s="42"/>
    </row>
    <row r="57" spans="1:21" ht="15.75" thickBot="1" x14ac:dyDescent="0.3">
      <c r="A57" s="1"/>
      <c r="B57" s="21"/>
      <c r="C57" s="3" t="s">
        <v>6</v>
      </c>
      <c r="D57" s="4"/>
      <c r="E57" s="4"/>
      <c r="F57" s="4"/>
      <c r="G57" s="4"/>
      <c r="H57" s="4"/>
      <c r="I57" s="4"/>
      <c r="J57" s="4"/>
      <c r="K57" s="4"/>
      <c r="L57" s="26"/>
      <c r="M57" s="26"/>
      <c r="N57" s="26"/>
      <c r="O57" s="26"/>
      <c r="P57" s="26"/>
      <c r="Q57" s="26"/>
      <c r="R57" s="26"/>
      <c r="S57" s="26"/>
      <c r="T57" s="26"/>
      <c r="U57" s="26"/>
    </row>
  </sheetData>
  <mergeCells count="3">
    <mergeCell ref="U3:U8"/>
    <mergeCell ref="M2:U2"/>
    <mergeCell ref="I1:K1"/>
  </mergeCells>
  <conditionalFormatting sqref="T10 R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{508F6379-DA67-473A-B7EF-EA5A0A823D18}</x14:id>
        </ext>
      </extLst>
    </cfRule>
  </conditionalFormatting>
  <conditionalFormatting sqref="P10:P1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{E00DC920-B4BF-4AEB-A8C9-2D23C31EAE92}</x14:id>
        </ext>
      </extLst>
    </cfRule>
  </conditionalFormatting>
  <conditionalFormatting sqref="P17:P2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{B9895F66-B468-47E4-9212-00B487EFEBF9}</x14:id>
        </ext>
      </extLst>
    </cfRule>
  </conditionalFormatting>
  <conditionalFormatting sqref="S10:S2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{F0D4655D-4A89-4BC9-86AF-619B392740BC}</x14:id>
        </ext>
      </extLst>
    </cfRule>
  </conditionalFormatting>
  <conditionalFormatting sqref="P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{23349CC7-59B7-475B-BA6D-FEEA6E76B04F}</x14:id>
        </ext>
      </extLst>
    </cfRule>
  </conditionalFormatting>
  <conditionalFormatting sqref="S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{DA5A3564-C6CC-41C3-9EE1-4D8C1710E0F3}</x14:id>
        </ext>
      </extLst>
    </cfRule>
  </conditionalFormatting>
  <hyperlinks>
    <hyperlink ref="P10" r:id="rId1" xr:uid="{5694C051-28B1-41C9-B1F7-632B48CCC730}"/>
    <hyperlink ref="P11" r:id="rId2" xr:uid="{FB2DF821-7164-4BA9-B9BA-DFFC425E0FFD}"/>
    <hyperlink ref="P12" r:id="rId3" xr:uid="{61DF39D9-0A98-4FB5-A7D1-DF18C4A31123}"/>
    <hyperlink ref="P13" r:id="rId4" xr:uid="{73DABE07-44CE-483A-8EB8-E6C4C50AB5F2}"/>
    <hyperlink ref="P15" r:id="rId5" xr:uid="{08F3E4A6-95F9-4C79-838B-071B53B62A1D}"/>
    <hyperlink ref="P16" r:id="rId6" xr:uid="{F6F6ECA5-2F46-4447-8D35-C9CD95559633}"/>
    <hyperlink ref="P17" r:id="rId7" xr:uid="{1E0682F3-B913-40C4-95CB-EA1918553488}"/>
    <hyperlink ref="P18" r:id="rId8" xr:uid="{B0949BF2-9473-4A28-919D-3AC7A498FF0C}"/>
    <hyperlink ref="P14" r:id="rId9" xr:uid="{F08737CD-974B-498A-9592-2B2BD1C21590}"/>
    <hyperlink ref="P19" r:id="rId10" xr:uid="{A9E50801-1179-445A-A0E6-A2991F1F5361}"/>
    <hyperlink ref="P20" r:id="rId11" xr:uid="{B01080C7-3451-491E-9DD5-40903F4ED4C3}"/>
    <hyperlink ref="P21" r:id="rId12" xr:uid="{DC54A846-16D5-4495-922A-F0FD8742E577}"/>
    <hyperlink ref="P22" r:id="rId13" xr:uid="{01B95C82-9D16-4D6D-A134-77A56B08D97C}"/>
    <hyperlink ref="P23" r:id="rId14" xr:uid="{A2B6DACC-5575-4007-BB4F-F3450280FC30}"/>
    <hyperlink ref="P24" r:id="rId15" xr:uid="{88CEC9D7-5331-44C2-AA7F-7AB68F9280F2}"/>
    <hyperlink ref="P25" r:id="rId16" xr:uid="{4CB5362E-E15A-40B3-8AF0-F2EBCF8C1274}"/>
  </hyperlinks>
  <pageMargins left="0.7" right="0.7" top="0.75" bottom="0.75" header="0.3" footer="0.3"/>
  <pageSetup paperSize="9" orientation="portrait" r:id="rId17"/>
  <drawing r:id="rId1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8F6379-DA67-473A-B7EF-EA5A0A823D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T10 R10</xm:sqref>
        </x14:conditionalFormatting>
        <x14:conditionalFormatting xmlns:xm="http://schemas.microsoft.com/office/excel/2006/main">
          <x14:cfRule type="dataBar" id="{E00DC920-B4BF-4AEB-A8C9-2D23C31EAE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P10:P12</xm:sqref>
        </x14:conditionalFormatting>
        <x14:conditionalFormatting xmlns:xm="http://schemas.microsoft.com/office/excel/2006/main">
          <x14:cfRule type="dataBar" id="{B9895F66-B468-47E4-9212-00B487EFEB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P17:P24</xm:sqref>
        </x14:conditionalFormatting>
        <x14:conditionalFormatting xmlns:xm="http://schemas.microsoft.com/office/excel/2006/main">
          <x14:cfRule type="dataBar" id="{F0D4655D-4A89-4BC9-86AF-619B39274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S10:S24</xm:sqref>
        </x14:conditionalFormatting>
        <x14:conditionalFormatting xmlns:xm="http://schemas.microsoft.com/office/excel/2006/main">
          <x14:cfRule type="dataBar" id="{23349CC7-59B7-475B-BA6D-FEEA6E76B0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P25</xm:sqref>
        </x14:conditionalFormatting>
        <x14:conditionalFormatting xmlns:xm="http://schemas.microsoft.com/office/excel/2006/main">
          <x14:cfRule type="dataBar" id="{DA5A3564-C6CC-41C3-9EE1-4D8C1710E0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2022-06-03T11:30:06Z</dcterms:modified>
</cp:coreProperties>
</file>