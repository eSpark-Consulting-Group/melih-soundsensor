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E:\Faizan\GitHub\Melih-SoundSensor\Design_Files_Reduced_Size\BOM\"/>
    </mc:Choice>
  </mc:AlternateContent>
  <xr:revisionPtr revIDLastSave="0" documentId="13_ncr:1_{D28567E1-F201-4D95-98DA-8DE46BA43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<sst xmlns="http://schemas.openxmlformats.org/spreadsheetml/2006/main" count="204" uniqueCount="134">
  <si>
    <t>#</t>
  </si>
  <si>
    <t>Item Type</t>
  </si>
  <si>
    <t>Capacitor</t>
  </si>
  <si>
    <t>ESD Diode</t>
  </si>
  <si>
    <t>Ferrite Bead</t>
  </si>
  <si>
    <t>USB Connector</t>
  </si>
  <si>
    <t>Connector</t>
  </si>
  <si>
    <t>Microphone</t>
  </si>
  <si>
    <t>Resistor</t>
  </si>
  <si>
    <t>Tactile Switch</t>
  </si>
  <si>
    <t>IC</t>
  </si>
  <si>
    <t>Module</t>
  </si>
  <si>
    <t>Designator</t>
  </si>
  <si>
    <t>C1, C35, C36, C43, C46, C47</t>
  </si>
  <si>
    <t>C2</t>
  </si>
  <si>
    <t>C4, C6, C8, C10, C12, C14, C16, C18</t>
  </si>
  <si>
    <t>C19, C20, C21, C22, C23, C24, C25, C26, C27, C28, C29, C30, C31, C32, C33, C34</t>
  </si>
  <si>
    <t>C37, C38, C41, C44, C45, C53</t>
  </si>
  <si>
    <t>C39, C40</t>
  </si>
  <si>
    <t>C42</t>
  </si>
  <si>
    <t>D1</t>
  </si>
  <si>
    <t>D2</t>
  </si>
  <si>
    <t>FB1, FB2</t>
  </si>
  <si>
    <t>J2</t>
  </si>
  <si>
    <t>J3</t>
  </si>
  <si>
    <t>MK1, MK2, MK3, MK4, MK5, MK6, MK7, MK8</t>
  </si>
  <si>
    <t>R1, R2</t>
  </si>
  <si>
    <t>R3, R4, R5</t>
  </si>
  <si>
    <t>R6</t>
  </si>
  <si>
    <t>R7, R8</t>
  </si>
  <si>
    <t>SW1</t>
  </si>
  <si>
    <t>SW2</t>
  </si>
  <si>
    <t>U1</t>
  </si>
  <si>
    <t>U2</t>
  </si>
  <si>
    <t>U3</t>
  </si>
  <si>
    <t>X1</t>
  </si>
  <si>
    <t>Description</t>
  </si>
  <si>
    <t>CAP CER 1UF 25V X5R 0603</t>
  </si>
  <si>
    <t>CAP CER 4.7UF 16V X5R 0603</t>
  </si>
  <si>
    <t>CAP CER 1UF 25V X5R 0402</t>
  </si>
  <si>
    <t>CAP CER 220PF 50V C0G/NPO 0402</t>
  </si>
  <si>
    <t>CAP CER 0.1UF 16V X5R 0402</t>
  </si>
  <si>
    <t>CAP CER 0.1UF 50V X5R 0603</t>
  </si>
  <si>
    <t>CAP CER 20PF 50V C0G/NPO 0603</t>
  </si>
  <si>
    <t>CAP CER 0.22UF 100V X7R 0805</t>
  </si>
  <si>
    <t>DIODE TVS SMD 5.5V 5A 90W</t>
  </si>
  <si>
    <t>15V 19A 3.3V 4V Bidirectional SOD-323 ESD Protection Devices ROHS</t>
  </si>
  <si>
    <t>FERRITE BEAD 120 OHM 0603 1LN</t>
  </si>
  <si>
    <t>250mA 1 16 Female Type-C SMD USB Connectors ROHS</t>
  </si>
  <si>
    <t>1x6P SH 1 1mm 6 SMD,P=1mm Wire To Board / Wire To Wire Connector ROHS</t>
  </si>
  <si>
    <t>WINFREY MIC HI SNR/AOP BOT PORT</t>
  </si>
  <si>
    <t>RES 5.1K OHM 1% 1/10W 0603</t>
  </si>
  <si>
    <t>RES SMD 100K OHM 5% 1/5W 0603</t>
  </si>
  <si>
    <t>RES 0 OHM JUMPER 1/10W 0603</t>
  </si>
  <si>
    <t>RES SMD 10K OHM 5% 1/10W 0603</t>
  </si>
  <si>
    <t>3mm 2mm Round Button 50mA Top3.65mm SPST 12V SMD Tactile Switches</t>
  </si>
  <si>
    <t>50mA Lying 100MΩ 100000 Times 250gf@±30gf 12V Plugin Tactile Switches ROHS</t>
  </si>
  <si>
    <t>Linear Voltage Regulator IC Positive Fixed 1 Output 3.3V 1A SOT-25</t>
  </si>
  <si>
    <t>IC ADC 24BIT SIGMA-DELTA 32TQFP</t>
  </si>
  <si>
    <t>SMD,18x25.5mm WiFi Modules ROHS</t>
  </si>
  <si>
    <t>8.192MHz SMD Crystal Resonator 12pF 150Ω ±10ppm ±30ppm -40℃~+85℃ SMD_3225_4P Crystals ROHS</t>
  </si>
  <si>
    <t>Footprint</t>
  </si>
  <si>
    <t>Cap-0603</t>
  </si>
  <si>
    <t>Cap-0402</t>
  </si>
  <si>
    <t>Cap 0402</t>
  </si>
  <si>
    <t>Cap-0805</t>
  </si>
  <si>
    <t>X1SON</t>
  </si>
  <si>
    <t>SOD-323</t>
  </si>
  <si>
    <t>IND-0603 (1608 Metric)</t>
  </si>
  <si>
    <t>SPM0687LR5H-1</t>
  </si>
  <si>
    <t>Res-0603</t>
  </si>
  <si>
    <t>RES-0603</t>
  </si>
  <si>
    <t>TS-1185EC-C-D-B</t>
  </si>
  <si>
    <t>K2-1101DF-C4DW-01</t>
  </si>
  <si>
    <t>SOT-25-5</t>
  </si>
  <si>
    <t>32TQFP</t>
  </si>
  <si>
    <t>41-SMD Module</t>
  </si>
  <si>
    <t>3TJ481920NYLBC</t>
  </si>
  <si>
    <t>Manufacturer Part Number</t>
  </si>
  <si>
    <t>CC0603KRX5R8BB105</t>
  </si>
  <si>
    <t>CC0603KRX5R7BB475</t>
  </si>
  <si>
    <t>CC0402KRX5R8BB105</t>
  </si>
  <si>
    <t>CC0402JRNPO9BN221</t>
  </si>
  <si>
    <t>CC0402KRX5R7BB104</t>
  </si>
  <si>
    <t>CC0603KRX5R9BB104</t>
  </si>
  <si>
    <t>CC0603JRNPO9BN200</t>
  </si>
  <si>
    <t>08051C224K4T2A</t>
  </si>
  <si>
    <t>TPD1E10B06DPYR</t>
  </si>
  <si>
    <t>UDD32C03L01</t>
  </si>
  <si>
    <t>BLM18SG121TN1D</t>
  </si>
  <si>
    <t>TYPE-C-31-M-12</t>
  </si>
  <si>
    <t>C145963</t>
  </si>
  <si>
    <t>RC0603FR-075K1L</t>
  </si>
  <si>
    <t>CRGH0603J100K</t>
  </si>
  <si>
    <t>RC0603JR-070RL</t>
  </si>
  <si>
    <t>AC0603JR-0710KL</t>
  </si>
  <si>
    <t>XC6220B331MR-G</t>
  </si>
  <si>
    <t>ADS131M08IPBSR</t>
  </si>
  <si>
    <t>ESP32-S3-WROOM-1-N8R2</t>
  </si>
  <si>
    <t>Manufacturer</t>
  </si>
  <si>
    <t>Yageo</t>
  </si>
  <si>
    <t>Kyocera AVX</t>
  </si>
  <si>
    <t>Texas Instruments</t>
  </si>
  <si>
    <t>Brightking</t>
  </si>
  <si>
    <t>Murata</t>
  </si>
  <si>
    <t>Korean Hroparts Elec</t>
  </si>
  <si>
    <t>BOOMELE</t>
  </si>
  <si>
    <t>Knowles</t>
  </si>
  <si>
    <t>TE Connectivity</t>
  </si>
  <si>
    <t>XKB</t>
  </si>
  <si>
    <t>Torex</t>
  </si>
  <si>
    <t>Espressif Systems</t>
  </si>
  <si>
    <t>JYJE</t>
  </si>
  <si>
    <t>1uF</t>
  </si>
  <si>
    <t>4.7uF</t>
  </si>
  <si>
    <t>220pF</t>
  </si>
  <si>
    <t>100nF</t>
  </si>
  <si>
    <t>20pF</t>
  </si>
  <si>
    <t>220nF</t>
  </si>
  <si>
    <t>5.1K</t>
  </si>
  <si>
    <t>100K</t>
  </si>
  <si>
    <t>0R</t>
  </si>
  <si>
    <t>10K</t>
  </si>
  <si>
    <t>Quantity</t>
  </si>
  <si>
    <t>Diode</t>
  </si>
  <si>
    <t>Custom</t>
  </si>
  <si>
    <t>Crystal</t>
  </si>
  <si>
    <t xml:space="preserve"> Alternate Part Number</t>
  </si>
  <si>
    <t>Value</t>
  </si>
  <si>
    <t>-</t>
  </si>
  <si>
    <t>8.192MHz</t>
  </si>
  <si>
    <t>Quantity (5 Boards)</t>
  </si>
  <si>
    <t>Remarks</t>
  </si>
  <si>
    <t>C3, C5, C7, C9, C11, C13, C15, C17, C48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</si>
</sst>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 applyProtection="1">
      <alignment horizontal="left" vertical="top"/>
      <protection locked="0"/>
    </xf>
    <xf numFmtId="0" fontId="3" fillId="3" borderId="7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/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2" fillId="3" borderId="11" xfId="0" applyFont="1" applyFill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center" vertical="top"/>
      <protection locked="0"/>
    </xf>
    <xf numFmtId="0" fontId="4" fillId="4" borderId="1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7" fillId="2" borderId="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7"/>
  <sheetViews>
    <sheetView tabSelected="1" topLeftCell="B1" workbookViewId="0">
      <selection activeCell="F4" sqref="F4"/>
    </sheetView>
  </sheetViews>
  <sheetFormatPr defaultRowHeight="14.4" x14ac:dyDescent="0.3"/>
  <cols>
    <col min="1" max="1" width="3.109375" style="4" customWidth="1"/>
    <col min="2" max="2" width="18.6640625" style="4" bestFit="1" customWidth="1"/>
    <col min="3" max="3" width="36" bestFit="1" customWidth="1"/>
    <col min="4" max="4" width="30" customWidth="1"/>
    <col min="5" max="5" width="26.5546875" bestFit="1" customWidth="1"/>
    <col min="6" max="6" width="33.44140625" bestFit="1" customWidth="1"/>
    <col min="7" max="7" width="22" bestFit="1" customWidth="1"/>
    <col min="8" max="8" width="21.44140625" bestFit="1" customWidth="1"/>
    <col min="9" max="9" width="8.109375" bestFit="1" customWidth="1"/>
    <col min="10" max="10" width="8.6640625" bestFit="1" customWidth="1"/>
    <col min="11" max="11" width="18.33203125" bestFit="1" customWidth="1"/>
    <col min="12" max="12" width="29.44140625" customWidth="1"/>
  </cols>
  <sheetData>
    <row r="1" spans="1:12" ht="15" thickBot="1" x14ac:dyDescent="0.35">
      <c r="A1" s="14" t="s">
        <v>0</v>
      </c>
      <c r="B1" s="5" t="s">
        <v>1</v>
      </c>
      <c r="C1" s="6" t="s">
        <v>12</v>
      </c>
      <c r="D1" s="5" t="s">
        <v>36</v>
      </c>
      <c r="E1" s="6" t="s">
        <v>61</v>
      </c>
      <c r="F1" s="5" t="s">
        <v>78</v>
      </c>
      <c r="G1" s="5" t="s">
        <v>127</v>
      </c>
      <c r="H1" s="6" t="s">
        <v>99</v>
      </c>
      <c r="I1" s="5" t="s">
        <v>128</v>
      </c>
      <c r="J1" s="5" t="s">
        <v>123</v>
      </c>
      <c r="K1" s="5" t="s">
        <v>131</v>
      </c>
      <c r="L1" s="5" t="s">
        <v>132</v>
      </c>
    </row>
    <row r="2" spans="1:12" x14ac:dyDescent="0.3">
      <c r="A2" s="15">
        <f>ROW(A2) - ROW($A$1)</f>
        <v>1</v>
      </c>
      <c r="B2" s="16" t="s">
        <v>2</v>
      </c>
      <c r="C2" s="9" t="s">
        <v>13</v>
      </c>
      <c r="D2" s="9" t="s">
        <v>37</v>
      </c>
      <c r="E2" s="9" t="s">
        <v>62</v>
      </c>
      <c r="F2" s="9" t="s">
        <v>79</v>
      </c>
      <c r="G2" s="9" t="s">
        <v>129</v>
      </c>
      <c r="H2" s="9" t="s">
        <v>100</v>
      </c>
      <c r="I2" s="9" t="s">
        <v>113</v>
      </c>
      <c r="J2" s="9">
        <v>6</v>
      </c>
      <c r="K2" s="9">
        <f>J2*5</f>
        <v>30</v>
      </c>
      <c r="L2" s="9"/>
    </row>
    <row r="3" spans="1:12" x14ac:dyDescent="0.3">
      <c r="A3" s="17">
        <f t="shared" ref="A3:A25" si="0">ROW(A3) - ROW($A$1)</f>
        <v>2</v>
      </c>
      <c r="B3" s="16" t="s">
        <v>2</v>
      </c>
      <c r="C3" s="10" t="s">
        <v>14</v>
      </c>
      <c r="D3" s="10" t="s">
        <v>38</v>
      </c>
      <c r="E3" s="10" t="s">
        <v>62</v>
      </c>
      <c r="F3" s="10" t="s">
        <v>80</v>
      </c>
      <c r="G3" s="10" t="s">
        <v>129</v>
      </c>
      <c r="H3" s="10" t="s">
        <v>100</v>
      </c>
      <c r="I3" s="10" t="s">
        <v>114</v>
      </c>
      <c r="J3" s="10">
        <v>1</v>
      </c>
      <c r="K3" s="10">
        <f t="shared" ref="K3" si="1">J3*5</f>
        <v>5</v>
      </c>
      <c r="L3" s="10"/>
    </row>
    <row r="4" spans="1:12" x14ac:dyDescent="0.3">
      <c r="A4" s="15">
        <f>ROW(A4) - ROW($A$1)</f>
        <v>3</v>
      </c>
      <c r="B4" s="16" t="s">
        <v>2</v>
      </c>
      <c r="C4" s="9" t="s">
        <v>133</v>
      </c>
      <c r="D4" s="9" t="s">
        <v>39</v>
      </c>
      <c r="E4" s="9" t="s">
        <v>63</v>
      </c>
      <c r="F4" s="9" t="s">
        <v>81</v>
      </c>
      <c r="G4" s="9" t="s">
        <v>129</v>
      </c>
      <c r="H4" s="9" t="s">
        <v>100</v>
      </c>
      <c r="I4" s="9" t="s">
        <v>113</v>
      </c>
      <c r="J4" s="9">
        <v>9</v>
      </c>
      <c r="K4" s="9">
        <f>J4*5</f>
        <v>45</v>
      </c>
      <c r="L4" s="9"/>
    </row>
    <row r="5" spans="1:12" x14ac:dyDescent="0.3">
      <c r="A5" s="17">
        <f t="shared" si="0"/>
        <v>4</v>
      </c>
      <c r="B5" s="16" t="s">
        <v>2</v>
      </c>
      <c r="C5" s="10" t="s">
        <v>15</v>
      </c>
      <c r="D5" s="10" t="s">
        <v>40</v>
      </c>
      <c r="E5" s="10" t="s">
        <v>64</v>
      </c>
      <c r="F5" s="10" t="s">
        <v>82</v>
      </c>
      <c r="G5" s="10" t="s">
        <v>129</v>
      </c>
      <c r="H5" s="10" t="s">
        <v>100</v>
      </c>
      <c r="I5" s="10" t="s">
        <v>115</v>
      </c>
      <c r="J5" s="10">
        <v>8</v>
      </c>
      <c r="K5" s="10">
        <f t="shared" ref="K5" si="2">J5*5</f>
        <v>40</v>
      </c>
      <c r="L5" s="10"/>
    </row>
    <row r="6" spans="1:12" ht="24" x14ac:dyDescent="0.3">
      <c r="A6" s="15">
        <f>ROW(A6) - ROW($A$1)</f>
        <v>5</v>
      </c>
      <c r="B6" s="16" t="s">
        <v>2</v>
      </c>
      <c r="C6" s="9" t="s">
        <v>16</v>
      </c>
      <c r="D6" s="9" t="s">
        <v>41</v>
      </c>
      <c r="E6" s="9" t="s">
        <v>63</v>
      </c>
      <c r="F6" s="9" t="s">
        <v>83</v>
      </c>
      <c r="G6" s="10" t="s">
        <v>129</v>
      </c>
      <c r="H6" s="9" t="s">
        <v>100</v>
      </c>
      <c r="I6" s="9" t="s">
        <v>116</v>
      </c>
      <c r="J6" s="9">
        <v>16</v>
      </c>
      <c r="K6" s="9">
        <f>J6*5</f>
        <v>80</v>
      </c>
      <c r="L6" s="9"/>
    </row>
    <row r="7" spans="1:12" x14ac:dyDescent="0.3">
      <c r="A7" s="17">
        <f t="shared" si="0"/>
        <v>6</v>
      </c>
      <c r="B7" s="18" t="s">
        <v>2</v>
      </c>
      <c r="C7" s="10" t="s">
        <v>17</v>
      </c>
      <c r="D7" s="10" t="s">
        <v>42</v>
      </c>
      <c r="E7" s="10" t="s">
        <v>62</v>
      </c>
      <c r="F7" s="10" t="s">
        <v>84</v>
      </c>
      <c r="G7" s="10" t="s">
        <v>129</v>
      </c>
      <c r="H7" s="10" t="s">
        <v>100</v>
      </c>
      <c r="I7" s="10" t="s">
        <v>116</v>
      </c>
      <c r="J7" s="10">
        <v>6</v>
      </c>
      <c r="K7" s="10">
        <f t="shared" ref="K7" si="3">J7*5</f>
        <v>30</v>
      </c>
      <c r="L7" s="10"/>
    </row>
    <row r="8" spans="1:12" x14ac:dyDescent="0.3">
      <c r="A8" s="15">
        <f>ROW(A8) - ROW($A$1)</f>
        <v>7</v>
      </c>
      <c r="B8" s="16" t="s">
        <v>2</v>
      </c>
      <c r="C8" s="9" t="s">
        <v>18</v>
      </c>
      <c r="D8" s="9" t="s">
        <v>43</v>
      </c>
      <c r="E8" s="9" t="s">
        <v>62</v>
      </c>
      <c r="F8" s="9" t="s">
        <v>85</v>
      </c>
      <c r="G8" s="10" t="s">
        <v>129</v>
      </c>
      <c r="H8" s="9" t="s">
        <v>100</v>
      </c>
      <c r="I8" s="9" t="s">
        <v>117</v>
      </c>
      <c r="J8" s="9">
        <v>2</v>
      </c>
      <c r="K8" s="9">
        <f>J8*5</f>
        <v>10</v>
      </c>
      <c r="L8" s="9"/>
    </row>
    <row r="9" spans="1:12" x14ac:dyDescent="0.3">
      <c r="A9" s="17">
        <f t="shared" si="0"/>
        <v>8</v>
      </c>
      <c r="B9" s="18" t="s">
        <v>2</v>
      </c>
      <c r="C9" s="10" t="s">
        <v>19</v>
      </c>
      <c r="D9" s="10" t="s">
        <v>44</v>
      </c>
      <c r="E9" s="10" t="s">
        <v>65</v>
      </c>
      <c r="F9" s="10" t="s">
        <v>86</v>
      </c>
      <c r="G9" s="10" t="s">
        <v>129</v>
      </c>
      <c r="H9" s="10" t="s">
        <v>101</v>
      </c>
      <c r="I9" s="10" t="s">
        <v>118</v>
      </c>
      <c r="J9" s="10">
        <v>1</v>
      </c>
      <c r="K9" s="10">
        <f t="shared" ref="K9" si="4">J9*5</f>
        <v>5</v>
      </c>
      <c r="L9" s="10"/>
    </row>
    <row r="10" spans="1:12" x14ac:dyDescent="0.3">
      <c r="A10" s="15">
        <f>ROW(A10) - ROW($A$1)</f>
        <v>9</v>
      </c>
      <c r="B10" s="16" t="s">
        <v>124</v>
      </c>
      <c r="C10" s="9" t="s">
        <v>20</v>
      </c>
      <c r="D10" s="9" t="s">
        <v>45</v>
      </c>
      <c r="E10" s="9" t="s">
        <v>66</v>
      </c>
      <c r="F10" s="9" t="s">
        <v>87</v>
      </c>
      <c r="G10" s="10" t="s">
        <v>129</v>
      </c>
      <c r="H10" s="9" t="s">
        <v>102</v>
      </c>
      <c r="I10" s="10" t="s">
        <v>129</v>
      </c>
      <c r="J10" s="9">
        <v>1</v>
      </c>
      <c r="K10" s="9">
        <f>J10*5</f>
        <v>5</v>
      </c>
      <c r="L10" s="9"/>
    </row>
    <row r="11" spans="1:12" ht="24" x14ac:dyDescent="0.3">
      <c r="A11" s="17">
        <f t="shared" si="0"/>
        <v>10</v>
      </c>
      <c r="B11" s="18" t="s">
        <v>3</v>
      </c>
      <c r="C11" s="10" t="s">
        <v>21</v>
      </c>
      <c r="D11" s="10" t="s">
        <v>46</v>
      </c>
      <c r="E11" s="10" t="s">
        <v>67</v>
      </c>
      <c r="F11" s="10" t="s">
        <v>88</v>
      </c>
      <c r="G11" s="10" t="s">
        <v>129</v>
      </c>
      <c r="H11" s="10" t="s">
        <v>103</v>
      </c>
      <c r="I11" s="10" t="s">
        <v>129</v>
      </c>
      <c r="J11" s="10">
        <v>1</v>
      </c>
      <c r="K11" s="10">
        <f t="shared" ref="K11" si="5">J11*5</f>
        <v>5</v>
      </c>
      <c r="L11" s="10"/>
    </row>
    <row r="12" spans="1:12" x14ac:dyDescent="0.3">
      <c r="A12" s="15">
        <f>ROW(A12) - ROW($A$1)</f>
        <v>11</v>
      </c>
      <c r="B12" s="16" t="s">
        <v>4</v>
      </c>
      <c r="C12" s="9" t="s">
        <v>22</v>
      </c>
      <c r="D12" s="9" t="s">
        <v>47</v>
      </c>
      <c r="E12" s="9" t="s">
        <v>68</v>
      </c>
      <c r="F12" s="9" t="s">
        <v>89</v>
      </c>
      <c r="G12" s="10" t="s">
        <v>129</v>
      </c>
      <c r="H12" s="9" t="s">
        <v>104</v>
      </c>
      <c r="I12" s="10" t="s">
        <v>129</v>
      </c>
      <c r="J12" s="9">
        <v>2</v>
      </c>
      <c r="K12" s="9">
        <f>J12*5</f>
        <v>10</v>
      </c>
      <c r="L12" s="9"/>
    </row>
    <row r="13" spans="1:12" ht="24" x14ac:dyDescent="0.3">
      <c r="A13" s="17">
        <f t="shared" si="0"/>
        <v>12</v>
      </c>
      <c r="B13" s="18" t="s">
        <v>5</v>
      </c>
      <c r="C13" s="10" t="s">
        <v>23</v>
      </c>
      <c r="D13" s="10" t="s">
        <v>48</v>
      </c>
      <c r="E13" s="10" t="s">
        <v>125</v>
      </c>
      <c r="F13" s="10" t="s">
        <v>90</v>
      </c>
      <c r="G13" s="10" t="s">
        <v>129</v>
      </c>
      <c r="H13" s="10" t="s">
        <v>105</v>
      </c>
      <c r="I13" s="10" t="s">
        <v>129</v>
      </c>
      <c r="J13" s="10">
        <v>1</v>
      </c>
      <c r="K13" s="10">
        <f t="shared" ref="K13" si="6">J13*5</f>
        <v>5</v>
      </c>
      <c r="L13" s="10"/>
    </row>
    <row r="14" spans="1:12" ht="24" x14ac:dyDescent="0.3">
      <c r="A14" s="15">
        <f>ROW(A14) - ROW($A$1)</f>
        <v>13</v>
      </c>
      <c r="B14" s="16" t="s">
        <v>6</v>
      </c>
      <c r="C14" s="9" t="s">
        <v>24</v>
      </c>
      <c r="D14" s="9" t="s">
        <v>49</v>
      </c>
      <c r="E14" s="9" t="s">
        <v>125</v>
      </c>
      <c r="F14" s="9" t="s">
        <v>91</v>
      </c>
      <c r="G14" s="10" t="s">
        <v>129</v>
      </c>
      <c r="H14" s="9" t="s">
        <v>106</v>
      </c>
      <c r="I14" s="10" t="s">
        <v>129</v>
      </c>
      <c r="J14" s="9">
        <v>1</v>
      </c>
      <c r="K14" s="9">
        <f>J14*5</f>
        <v>5</v>
      </c>
      <c r="L14" s="9"/>
    </row>
    <row r="15" spans="1:12" x14ac:dyDescent="0.3">
      <c r="A15" s="17">
        <f t="shared" si="0"/>
        <v>14</v>
      </c>
      <c r="B15" s="18" t="s">
        <v>7</v>
      </c>
      <c r="C15" s="10" t="s">
        <v>25</v>
      </c>
      <c r="D15" s="10" t="s">
        <v>50</v>
      </c>
      <c r="E15" s="10" t="s">
        <v>125</v>
      </c>
      <c r="F15" s="10" t="s">
        <v>69</v>
      </c>
      <c r="G15" s="10" t="s">
        <v>129</v>
      </c>
      <c r="H15" s="10" t="s">
        <v>107</v>
      </c>
      <c r="I15" s="10" t="s">
        <v>129</v>
      </c>
      <c r="J15" s="10">
        <v>8</v>
      </c>
      <c r="K15" s="10">
        <f t="shared" ref="K15" si="7">J15*5</f>
        <v>40</v>
      </c>
      <c r="L15" s="10"/>
    </row>
    <row r="16" spans="1:12" x14ac:dyDescent="0.3">
      <c r="A16" s="15">
        <f>ROW(A16) - ROW($A$1)</f>
        <v>15</v>
      </c>
      <c r="B16" s="16" t="s">
        <v>8</v>
      </c>
      <c r="C16" s="9" t="s">
        <v>26</v>
      </c>
      <c r="D16" s="9" t="s">
        <v>51</v>
      </c>
      <c r="E16" s="9" t="s">
        <v>70</v>
      </c>
      <c r="F16" s="9" t="s">
        <v>92</v>
      </c>
      <c r="G16" s="10" t="s">
        <v>129</v>
      </c>
      <c r="H16" s="9" t="s">
        <v>100</v>
      </c>
      <c r="I16" s="9" t="s">
        <v>119</v>
      </c>
      <c r="J16" s="9">
        <v>2</v>
      </c>
      <c r="K16" s="9">
        <f>J16*5</f>
        <v>10</v>
      </c>
      <c r="L16" s="9"/>
    </row>
    <row r="17" spans="1:12" x14ac:dyDescent="0.3">
      <c r="A17" s="17">
        <f t="shared" si="0"/>
        <v>16</v>
      </c>
      <c r="B17" s="18" t="s">
        <v>8</v>
      </c>
      <c r="C17" s="10" t="s">
        <v>27</v>
      </c>
      <c r="D17" s="10" t="s">
        <v>52</v>
      </c>
      <c r="E17" s="10" t="s">
        <v>71</v>
      </c>
      <c r="F17" s="25" t="s">
        <v>93</v>
      </c>
      <c r="G17" s="10" t="s">
        <v>129</v>
      </c>
      <c r="H17" s="10" t="s">
        <v>108</v>
      </c>
      <c r="I17" s="10" t="s">
        <v>120</v>
      </c>
      <c r="J17" s="10">
        <v>3</v>
      </c>
      <c r="K17" s="10">
        <f t="shared" ref="K17" si="8">J17*5</f>
        <v>15</v>
      </c>
      <c r="L17" s="10"/>
    </row>
    <row r="18" spans="1:12" x14ac:dyDescent="0.3">
      <c r="A18" s="15">
        <f>ROW(A18) - ROW($A$1)</f>
        <v>17</v>
      </c>
      <c r="B18" s="16" t="s">
        <v>8</v>
      </c>
      <c r="C18" s="9" t="s">
        <v>28</v>
      </c>
      <c r="D18" s="9" t="s">
        <v>53</v>
      </c>
      <c r="E18" s="9" t="s">
        <v>70</v>
      </c>
      <c r="F18" s="9" t="s">
        <v>94</v>
      </c>
      <c r="G18" s="10" t="s">
        <v>129</v>
      </c>
      <c r="H18" s="9" t="s">
        <v>100</v>
      </c>
      <c r="I18" s="9" t="s">
        <v>121</v>
      </c>
      <c r="J18" s="9">
        <v>1</v>
      </c>
      <c r="K18" s="9">
        <f>J18*5</f>
        <v>5</v>
      </c>
      <c r="L18" s="9"/>
    </row>
    <row r="19" spans="1:12" x14ac:dyDescent="0.3">
      <c r="A19" s="17">
        <f t="shared" si="0"/>
        <v>18</v>
      </c>
      <c r="B19" s="18" t="s">
        <v>8</v>
      </c>
      <c r="C19" s="10" t="s">
        <v>29</v>
      </c>
      <c r="D19" s="10" t="s">
        <v>54</v>
      </c>
      <c r="E19" s="10" t="s">
        <v>70</v>
      </c>
      <c r="F19" s="10" t="s">
        <v>95</v>
      </c>
      <c r="G19" s="10" t="s">
        <v>129</v>
      </c>
      <c r="H19" s="10" t="s">
        <v>100</v>
      </c>
      <c r="I19" s="10" t="s">
        <v>122</v>
      </c>
      <c r="J19" s="10">
        <v>2</v>
      </c>
      <c r="K19" s="10">
        <f t="shared" ref="K19" si="9">J19*5</f>
        <v>10</v>
      </c>
      <c r="L19" s="10"/>
    </row>
    <row r="20" spans="1:12" ht="36" x14ac:dyDescent="0.3">
      <c r="A20" s="15">
        <f>ROW(A20) - ROW($A$1)</f>
        <v>19</v>
      </c>
      <c r="B20" s="18" t="s">
        <v>9</v>
      </c>
      <c r="C20" s="9" t="s">
        <v>30</v>
      </c>
      <c r="D20" s="9" t="s">
        <v>55</v>
      </c>
      <c r="E20" s="9" t="s">
        <v>125</v>
      </c>
      <c r="F20" s="9" t="s">
        <v>72</v>
      </c>
      <c r="G20" s="10" t="s">
        <v>129</v>
      </c>
      <c r="H20" s="9" t="s">
        <v>109</v>
      </c>
      <c r="I20" s="26" t="s">
        <v>129</v>
      </c>
      <c r="J20" s="9">
        <v>1</v>
      </c>
      <c r="K20" s="9">
        <f>J20*5</f>
        <v>5</v>
      </c>
      <c r="L20" s="9"/>
    </row>
    <row r="21" spans="1:12" ht="36" x14ac:dyDescent="0.3">
      <c r="A21" s="17">
        <f t="shared" si="0"/>
        <v>20</v>
      </c>
      <c r="B21" s="18" t="s">
        <v>9</v>
      </c>
      <c r="C21" s="10" t="s">
        <v>31</v>
      </c>
      <c r="D21" s="10" t="s">
        <v>56</v>
      </c>
      <c r="E21" s="10" t="s">
        <v>125</v>
      </c>
      <c r="F21" s="10" t="s">
        <v>73</v>
      </c>
      <c r="G21" s="10" t="s">
        <v>129</v>
      </c>
      <c r="H21" s="10" t="s">
        <v>105</v>
      </c>
      <c r="I21" s="10" t="s">
        <v>129</v>
      </c>
      <c r="J21" s="10">
        <v>1</v>
      </c>
      <c r="K21" s="10">
        <f t="shared" ref="K21" si="10">J21*5</f>
        <v>5</v>
      </c>
      <c r="L21" s="10"/>
    </row>
    <row r="22" spans="1:12" ht="24" x14ac:dyDescent="0.3">
      <c r="A22" s="15">
        <f>ROW(A22) - ROW($A$1)</f>
        <v>21</v>
      </c>
      <c r="B22" s="16" t="s">
        <v>10</v>
      </c>
      <c r="C22" s="9" t="s">
        <v>32</v>
      </c>
      <c r="D22" s="9" t="s">
        <v>57</v>
      </c>
      <c r="E22" s="9" t="s">
        <v>74</v>
      </c>
      <c r="F22" s="9" t="s">
        <v>96</v>
      </c>
      <c r="G22" s="10" t="s">
        <v>129</v>
      </c>
      <c r="H22" s="9" t="s">
        <v>110</v>
      </c>
      <c r="I22" s="10" t="s">
        <v>129</v>
      </c>
      <c r="J22" s="9">
        <v>1</v>
      </c>
      <c r="K22" s="9">
        <f>J22*5</f>
        <v>5</v>
      </c>
      <c r="L22" s="9"/>
    </row>
    <row r="23" spans="1:12" x14ac:dyDescent="0.3">
      <c r="A23" s="17">
        <f t="shared" si="0"/>
        <v>22</v>
      </c>
      <c r="B23" s="16" t="s">
        <v>10</v>
      </c>
      <c r="C23" s="10" t="s">
        <v>33</v>
      </c>
      <c r="D23" s="10" t="s">
        <v>58</v>
      </c>
      <c r="E23" s="10" t="s">
        <v>75</v>
      </c>
      <c r="F23" s="10" t="s">
        <v>97</v>
      </c>
      <c r="G23" s="10" t="s">
        <v>129</v>
      </c>
      <c r="H23" s="10" t="s">
        <v>102</v>
      </c>
      <c r="I23" s="10" t="s">
        <v>129</v>
      </c>
      <c r="J23" s="10">
        <v>1</v>
      </c>
      <c r="K23" s="10">
        <f t="shared" ref="K23" si="11">J23*5</f>
        <v>5</v>
      </c>
      <c r="L23" s="10"/>
    </row>
    <row r="24" spans="1:12" x14ac:dyDescent="0.3">
      <c r="A24" s="15">
        <f>ROW(A24) - ROW($A$1)</f>
        <v>23</v>
      </c>
      <c r="B24" s="16" t="s">
        <v>11</v>
      </c>
      <c r="C24" s="9" t="s">
        <v>34</v>
      </c>
      <c r="D24" s="9" t="s">
        <v>59</v>
      </c>
      <c r="E24" s="9" t="s">
        <v>76</v>
      </c>
      <c r="F24" s="9" t="s">
        <v>98</v>
      </c>
      <c r="G24" s="10" t="s">
        <v>129</v>
      </c>
      <c r="H24" s="9" t="s">
        <v>111</v>
      </c>
      <c r="I24" s="9" t="s">
        <v>129</v>
      </c>
      <c r="J24" s="9">
        <v>1</v>
      </c>
      <c r="K24" s="9">
        <f>J24*5</f>
        <v>5</v>
      </c>
      <c r="L24" s="9"/>
    </row>
    <row r="25" spans="1:12" ht="36.6" thickBot="1" x14ac:dyDescent="0.35">
      <c r="A25" s="17">
        <f t="shared" si="0"/>
        <v>24</v>
      </c>
      <c r="B25" s="18" t="s">
        <v>126</v>
      </c>
      <c r="C25" s="10" t="s">
        <v>35</v>
      </c>
      <c r="D25" s="10" t="s">
        <v>60</v>
      </c>
      <c r="E25" s="10" t="s">
        <v>125</v>
      </c>
      <c r="F25" s="10" t="s">
        <v>77</v>
      </c>
      <c r="G25" s="10" t="s">
        <v>129</v>
      </c>
      <c r="H25" s="10" t="s">
        <v>112</v>
      </c>
      <c r="I25" s="26" t="s">
        <v>130</v>
      </c>
      <c r="J25" s="10">
        <v>1</v>
      </c>
      <c r="K25" s="10">
        <f t="shared" ref="K25" si="12">J25*5</f>
        <v>5</v>
      </c>
      <c r="L25" s="10"/>
    </row>
    <row r="26" spans="1:12" x14ac:dyDescent="0.3">
      <c r="A26" s="19"/>
      <c r="B26" s="20"/>
      <c r="C26" s="21"/>
      <c r="D26" s="22"/>
      <c r="E26" s="23"/>
      <c r="F26" s="24"/>
      <c r="G26" s="8"/>
      <c r="H26" s="7"/>
      <c r="I26" s="8"/>
      <c r="J26" s="8"/>
      <c r="K26" s="8"/>
      <c r="L26" s="11"/>
    </row>
    <row r="27" spans="1:12" ht="15" thickBot="1" x14ac:dyDescent="0.35">
      <c r="A27" s="3"/>
      <c r="B27" s="13"/>
      <c r="C27" s="1"/>
      <c r="D27" s="2"/>
      <c r="E27" s="2"/>
      <c r="F27" s="2"/>
      <c r="G27" s="2"/>
      <c r="H27" s="2"/>
      <c r="I27" s="2"/>
      <c r="J27" s="2"/>
      <c r="K27" s="2"/>
      <c r="L27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Fariha Rehman</cp:lastModifiedBy>
  <dcterms:created xsi:type="dcterms:W3CDTF">2019-12-12T10:34:26Z</dcterms:created>
  <dcterms:modified xsi:type="dcterms:W3CDTF">2023-07-22T15:36:57Z</dcterms:modified>
</cp:coreProperties>
</file>