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elih-SoundSensor\Deliverables\BOM\"/>
    </mc:Choice>
  </mc:AlternateContent>
  <bookViews>
    <workbookView xWindow="28680" yWindow="-120" windowWidth="29040" windowHeight="15840"/>
  </bookViews>
  <sheets>
    <sheet name="5 Boards" sheetId="1" r:id="rId1"/>
    <sheet name="10 Boards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2" l="1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<sst xmlns="http://schemas.openxmlformats.org/spreadsheetml/2006/main" count="682" uniqueCount="245">
  <si>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</si>
  <si>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</si>
  <si>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</si>
  <si>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</si>
  <si>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</si>
  <si>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</si>
  <si>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</si>
  <si>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</si>
  <si>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Ferrite Bead</t>
  </si>
  <si>
    <t>USB Connector</t>
  </si>
  <si>
    <t>Microphone</t>
  </si>
  <si>
    <t>Resistor</t>
  </si>
  <si>
    <t>Module</t>
  </si>
  <si>
    <t>IC</t>
  </si>
  <si>
    <t>Designator</t>
  </si>
  <si>
    <t>C3, C5, C7, C9, C11, C13, C15, C17, C24, C25, C27, C29, C30, C32, C35, C39, C42, C53, C55, C64, C65, C66, C67, C70, C72, C76, C78, C85, C90, C91, C92, C93, C94, C95, C98, C99, C108, C112, C113, C114, C116, C118, C120, C128, C135, C136, C165, C166, C167, C168, C#2</t>
  </si>
  <si>
    <t>C4, C6, C8, C10, C12, C14, C16, C18, C37, C40, C83, C86</t>
  </si>
  <si>
    <t>C19, C21</t>
  </si>
  <si>
    <t>C20, C22, C31, C33, C34, C38, C41, C54, C58, C59, C71, C77, C79, C81, C82, C84</t>
  </si>
  <si>
    <t>C36</t>
  </si>
  <si>
    <t>C43, C44, C61, C62, C73, C74</t>
  </si>
  <si>
    <t>C45, C46, C47, C48, C49, C50, C51, C52, C97, C100, C101, C102, C103, C104, C105, C106, C107, C119, C122, C123, C126, C130, C133, C134, C141, C142, C143, C144, C145, C146, C147, C148, C149, C150, C151, C152, C153, C154, C155, C156, C157, C158, C159, C160, C161, C162, C163, C164</t>
  </si>
  <si>
    <t>C56, C57, C75, C96, C121, C124, C125, C127, C129, C131, C132</t>
  </si>
  <si>
    <t>C60, C63, C68, C69</t>
  </si>
  <si>
    <t>C80</t>
  </si>
  <si>
    <t>C87, C88, C89, C109, C110, C111, C115, C117</t>
  </si>
  <si>
    <t>D1</t>
  </si>
  <si>
    <t>D2</t>
  </si>
  <si>
    <t>FB1, FB2</t>
  </si>
  <si>
    <t>J1</t>
  </si>
  <si>
    <t>J2</t>
  </si>
  <si>
    <t>MK1, MK2, MK3, MK4, MK5, MK6, MK7, MK8</t>
  </si>
  <si>
    <t>MK9, MK10, MK11, MK12</t>
  </si>
  <si>
    <t>P1</t>
  </si>
  <si>
    <t>P2, P3, P4, P5, P6</t>
  </si>
  <si>
    <t>R1, R2, R3</t>
  </si>
  <si>
    <t>R4, R5, R6, R22, R23, R24, R34, R38</t>
  </si>
  <si>
    <t>R7, R8, R9</t>
  </si>
  <si>
    <t>R10, R13, R14, R25, R26, R27, R35, R39, R42, R43</t>
  </si>
  <si>
    <t>R11, R12</t>
  </si>
  <si>
    <t>R44, R45, R46, R47</t>
  </si>
  <si>
    <t>SB1, SB2, SB3, SB4, SB5, SB6, SB7, SB8, SB9, SB10, SB11, SB12, SB13, SB14, SB15, SB16, SB17, SB18, SB19, SB20, SB21, SB22, SB23, SB24, SB25, SB26, SB27, SB28, SB29, SB30, SB31, SB32, SB33, SB34, SB35, SB36, SB37, SB38, SB39, SB40, SB41, SB42, SB43, SB44, SB45, SB46, SB47, SB48, SB49, SB50, SB51, SB52, SB53, SB54, SB55, SB56, SB57, SB58, SB59, SB60, SB61, SB62, SB63, SB64, SB65, SB66, SB67, SB68, SB69, SB70, SB71, SB72, SB73, SB74, SB75, SB76, SB77, SB78, SB79, SB80, SB81, SB82, SB83, SB84, SB85, SB86, SB87, SB88, SB89, SB90, SB91, SB92, SB93, SB94, SB95, SB96, SB97, SB98, SB99, SB100, SB101, SB102, SB103, SB104, SB105, SB106</t>
  </si>
  <si>
    <t>SW1</t>
  </si>
  <si>
    <t>U1</t>
  </si>
  <si>
    <t>U2, U7, U8, U9, U10, U11, U12, U14</t>
  </si>
  <si>
    <t>U3</t>
  </si>
  <si>
    <t>U4</t>
  </si>
  <si>
    <t>U5, U6</t>
  </si>
  <si>
    <t>U13</t>
  </si>
  <si>
    <t>U15</t>
  </si>
  <si>
    <t>U16, U17, U18, U19</t>
  </si>
  <si>
    <t>X1</t>
  </si>
  <si>
    <t>X2, X3</t>
  </si>
  <si>
    <t>Description</t>
  </si>
  <si>
    <t>CAP CER 4.7UF 16V X5R 0603</t>
  </si>
  <si>
    <t>CAP CER 1UF 25V X5R 0402</t>
  </si>
  <si>
    <t>CAP CER 220PF 50V C0G/NPO 0402</t>
  </si>
  <si>
    <t>CAP TANT POLY 680UF 6.3V 2917</t>
  </si>
  <si>
    <t>CAP CER 0.1UF 50V X5R 0603</t>
  </si>
  <si>
    <t>CAP CER 0.22UF 50V X7S 0603</t>
  </si>
  <si>
    <t>CAP SMD 18pF ±5.0% 50V NPO 0603</t>
  </si>
  <si>
    <t>CAP CER 0.1UF 16V X5R 0402</t>
  </si>
  <si>
    <t>CAP CER 10UF 25V X5R 0603</t>
  </si>
  <si>
    <t>CAP CER 10PF 50V C0G/NPO 0603</t>
  </si>
  <si>
    <t>CAP CER 100PF 25V X7R 0603</t>
  </si>
  <si>
    <t>CAP CER 27PF 50V C0G/NPO 0603</t>
  </si>
  <si>
    <t>15V 19A 3.3V 4V Bidirectional SOD-323 ESD Protection Devices ROHS</t>
  </si>
  <si>
    <t>DIODE TVS SMD 5.5V 5A 90W</t>
  </si>
  <si>
    <t>FERRITE BEAD 120 OHM 0603 1LN</t>
  </si>
  <si>
    <t>05P MTA100 HDR ASSY (NARROW)</t>
  </si>
  <si>
    <t>USB 3.1 1 Surface Mount 6 Female -25℃~+85℃ Type-C SMD USB Connectors ROHS</t>
  </si>
  <si>
    <t>WINFREY MIC HI SNR/AOP BOT PORT</t>
  </si>
  <si>
    <t>Lovato Analog Bottom Port Mic</t>
  </si>
  <si>
    <t>CONN HEADER VERT 6POS 2.54MM</t>
  </si>
  <si>
    <t>Test Point ON</t>
  </si>
  <si>
    <t>RES SMD 100K OHM 5% 1/5W 0603</t>
  </si>
  <si>
    <t>RES 300K OHM 1% 1/10W 0603</t>
  </si>
  <si>
    <t>RES SMD 0R, 1%, 0.1W, 0603</t>
  </si>
  <si>
    <t>RES SMD 4.7K OHM 5% 1/10W 0603</t>
  </si>
  <si>
    <t>RES SMD 5.1K OHM 5% 1/10W 0603</t>
  </si>
  <si>
    <t>RES 10K OHM 1% 1/16W 0402</t>
  </si>
  <si>
    <t>RES 11.3K OHM 1% 1/10W 0603</t>
  </si>
  <si>
    <t>Solder Bridge ON</t>
  </si>
  <si>
    <t>3mm 2mm Round Button 50mA Top3.65mm SPST 12V SMD Tactile Switches</t>
  </si>
  <si>
    <t>RF TXRX MOD WIFI PCB TRACE SMD</t>
  </si>
  <si>
    <t>IC OPAMP GP 1 CIRCUIT SOT23-5</t>
  </si>
  <si>
    <t>Linear Voltage Regulator IC Positive Fixed 1 Output 3.3V 1A SOT-25</t>
  </si>
  <si>
    <t>IC ADC 24BIT SIGMA-DELTA 32TQFP</t>
  </si>
  <si>
    <t>IC ADC/AUDIO 24BIT 192K 30TSSOP</t>
  </si>
  <si>
    <t>2 NPN pre-biased (Dual) 150mW 100mA 50V SC-70-6(SOT-363) Digital Transistors ROHS</t>
  </si>
  <si>
    <t>IC ADC AUDIO 768K 24WQFN</t>
  </si>
  <si>
    <t>IC AMP CLASS AB STEREO 16TQFN</t>
  </si>
  <si>
    <t>8.192MHz SMD Crystal Resonator 12pF 150Ω ±10ppm ±30ppm -40℃~+85℃ SMD_3225_4P Crystals ROHS</t>
  </si>
  <si>
    <t>24.576MHz SMD Crystal Resonator 12pF 60Ω ±10ppm -40℃~+85℃ SMD3225-4P Crystals ROHS</t>
  </si>
  <si>
    <t>Footprint</t>
  </si>
  <si>
    <t>Cap-0603</t>
  </si>
  <si>
    <t>Cap-0402</t>
  </si>
  <si>
    <t>Cap 0402</t>
  </si>
  <si>
    <t>Case-D</t>
  </si>
  <si>
    <t>Cap 0603</t>
  </si>
  <si>
    <t>UDD32C03L01</t>
  </si>
  <si>
    <t>X1SON - 0.45 mm max height</t>
  </si>
  <si>
    <t>IND-0603 (1608 Metric)</t>
  </si>
  <si>
    <t>HDR1X5</t>
  </si>
  <si>
    <t>U262-061N-4BVC11</t>
  </si>
  <si>
    <t>SPM0687LR5H-1</t>
  </si>
  <si>
    <t>SPH8878LR5H-1</t>
  </si>
  <si>
    <t>HDR1X6</t>
  </si>
  <si>
    <t>Test-point</t>
  </si>
  <si>
    <t>Res0603</t>
  </si>
  <si>
    <t>Res-0603</t>
  </si>
  <si>
    <t>Res-0402</t>
  </si>
  <si>
    <t>Solder Bridge</t>
  </si>
  <si>
    <t>TS-1185EC-C-D-B</t>
  </si>
  <si>
    <t>ESP32-WROVER-E-N8R8</t>
  </si>
  <si>
    <t>SOT-23-5</t>
  </si>
  <si>
    <t>SOT-25</t>
  </si>
  <si>
    <t>32TQFP</t>
  </si>
  <si>
    <t>PCM1865DBTR</t>
  </si>
  <si>
    <t>UMH3N</t>
  </si>
  <si>
    <t>24-WQFN (4x4)</t>
  </si>
  <si>
    <t>16-TQFN (4x4)</t>
  </si>
  <si>
    <t>3TJ481920NYLBC</t>
  </si>
  <si>
    <t>S3224576121060</t>
  </si>
  <si>
    <t>Manufacturer Part Number</t>
  </si>
  <si>
    <t>CC0603KRX5R7BB475</t>
  </si>
  <si>
    <t>CC0402KRX5R8BB105</t>
  </si>
  <si>
    <t>CC0402JRNPO9BN221</t>
  </si>
  <si>
    <t>6TPE680MI</t>
  </si>
  <si>
    <t>UMK107C7224KAHTE</t>
  </si>
  <si>
    <t>CC0603JRNPO9BN180</t>
  </si>
  <si>
    <t>CC0402KRX5R7BB104</t>
  </si>
  <si>
    <t>CC0603JRNPO9BN100</t>
  </si>
  <si>
    <t>CC0603KRX7R8BB101</t>
  </si>
  <si>
    <t>CC0603JRNPO9BN270</t>
  </si>
  <si>
    <t>TPD1E10B06DPYR</t>
  </si>
  <si>
    <t>BLM18SG121TN1D</t>
  </si>
  <si>
    <t>RC0603FR-07300KL</t>
  </si>
  <si>
    <t>RC0603FR-070RL</t>
  </si>
  <si>
    <t>RC0603JR-074K7L</t>
  </si>
  <si>
    <t>RC0603JR-075K1L</t>
  </si>
  <si>
    <t>RC0402FR-0710KL</t>
  </si>
  <si>
    <t>RC0603FR-0711K3L</t>
  </si>
  <si>
    <t>OPA344NA/250</t>
  </si>
  <si>
    <t>XC6220B331MR-G</t>
  </si>
  <si>
    <t>ADS131M08IPBSR</t>
  </si>
  <si>
    <t>TLV320ADC5140IRTWT</t>
  </si>
  <si>
    <t>MAX4063ETE+T</t>
  </si>
  <si>
    <t>Manufacturer</t>
  </si>
  <si>
    <t>Yageo</t>
  </si>
  <si>
    <t>Panasonic</t>
  </si>
  <si>
    <t>Taiyo Yuden</t>
  </si>
  <si>
    <t>TDK</t>
  </si>
  <si>
    <t>Brightking</t>
  </si>
  <si>
    <t>Texas Instruments</t>
  </si>
  <si>
    <t>Murata</t>
  </si>
  <si>
    <t>TE Connectivity</t>
  </si>
  <si>
    <t>XKB</t>
  </si>
  <si>
    <t>Knowles</t>
  </si>
  <si>
    <t>Wurth Electronics</t>
  </si>
  <si>
    <t>Espressif Systems</t>
  </si>
  <si>
    <t>Torex</t>
  </si>
  <si>
    <t>Changjiang</t>
  </si>
  <si>
    <t>Maxim</t>
  </si>
  <si>
    <t>JYJE</t>
  </si>
  <si>
    <t>JGHC</t>
  </si>
  <si>
    <t>LCSC Part Number</t>
  </si>
  <si>
    <t>C277476</t>
  </si>
  <si>
    <t>C326568</t>
  </si>
  <si>
    <t>C79115</t>
  </si>
  <si>
    <t>C106204</t>
  </si>
  <si>
    <t>C106245</t>
  </si>
  <si>
    <t>C107045</t>
  </si>
  <si>
    <t>C113030</t>
  </si>
  <si>
    <t>C2764612</t>
  </si>
  <si>
    <t>C114667</t>
  </si>
  <si>
    <t>C105428</t>
  </si>
  <si>
    <t>C60490</t>
  </si>
  <si>
    <t>C137803</t>
  </si>
  <si>
    <t>C2973667</t>
  </si>
  <si>
    <t>C131974</t>
  </si>
  <si>
    <t>4.7uF</t>
  </si>
  <si>
    <t>1uF</t>
  </si>
  <si>
    <t>220pF</t>
  </si>
  <si>
    <t>680uF</t>
  </si>
  <si>
    <t>100nF</t>
  </si>
  <si>
    <t>220nF</t>
  </si>
  <si>
    <t>18pF</t>
  </si>
  <si>
    <t>10uF</t>
  </si>
  <si>
    <t>10pF</t>
  </si>
  <si>
    <t>100pF</t>
  </si>
  <si>
    <t>27pF</t>
  </si>
  <si>
    <t>100K</t>
  </si>
  <si>
    <t>300K</t>
  </si>
  <si>
    <t>0R</t>
  </si>
  <si>
    <t>4.7K</t>
  </si>
  <si>
    <t>5.1K</t>
  </si>
  <si>
    <t>10K</t>
  </si>
  <si>
    <t>11.3K</t>
  </si>
  <si>
    <t>Diode</t>
  </si>
  <si>
    <t>Header</t>
  </si>
  <si>
    <t xml:space="preserve">Test Point </t>
  </si>
  <si>
    <t>Solder bridge</t>
  </si>
  <si>
    <t>Switch</t>
  </si>
  <si>
    <t>Crystal</t>
  </si>
  <si>
    <t>Value</t>
  </si>
  <si>
    <t>C107001</t>
  </si>
  <si>
    <t>C1591</t>
  </si>
  <si>
    <t>C386159</t>
  </si>
  <si>
    <t>C107040</t>
  </si>
  <si>
    <t>C519410</t>
  </si>
  <si>
    <t>C78439</t>
  </si>
  <si>
    <t>-</t>
  </si>
  <si>
    <t>C2972450</t>
  </si>
  <si>
    <t>C492404</t>
  </si>
  <si>
    <t>C492405</t>
  </si>
  <si>
    <t>C73806</t>
  </si>
  <si>
    <t>C100044</t>
  </si>
  <si>
    <t>C14677</t>
  </si>
  <si>
    <t>C318893</t>
  </si>
  <si>
    <t>C86534</t>
  </si>
  <si>
    <t>C181312</t>
  </si>
  <si>
    <t>C2898996</t>
  </si>
  <si>
    <t>8.192MHz</t>
  </si>
  <si>
    <t>C390772</t>
  </si>
  <si>
    <t>24.576MHz</t>
  </si>
  <si>
    <t>Quantity Per Board</t>
  </si>
  <si>
    <t>CL10B104KB8NNNC</t>
  </si>
  <si>
    <t>PZ254V-11-05P</t>
  </si>
  <si>
    <t>PZ254V-11-06P</t>
  </si>
  <si>
    <t>Custom</t>
  </si>
  <si>
    <t>SC-70-6</t>
  </si>
  <si>
    <t>RS-03K104JT</t>
  </si>
  <si>
    <t>Remarks</t>
  </si>
  <si>
    <t>Bill of Materials for Project [Sound_Sensor]</t>
  </si>
  <si>
    <t>Sound_Sensor</t>
  </si>
  <si>
    <t>C1,C2, C23, C26, C28, C137, C138, C139, C140</t>
  </si>
  <si>
    <t>C1608X5R1E106MT000E</t>
  </si>
  <si>
    <t>SOD-323</t>
  </si>
  <si>
    <t>R15, R16, R17,  R18, R19, R20, R21, R28, R29, R30, R31, R32, R33, R36, R37, R40, R41</t>
  </si>
  <si>
    <t>30TSSOP</t>
  </si>
  <si>
    <t>C76614</t>
  </si>
  <si>
    <t>C62892</t>
  </si>
  <si>
    <t>MOQ (5 Boards)</t>
  </si>
  <si>
    <t>MOQ (10 Boards)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</si>
</sst>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21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7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9" fillId="3" borderId="0" xfId="0" applyFont="1" applyFill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/>
    <xf numFmtId="0" fontId="12" fillId="3" borderId="6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4" borderId="14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6" fillId="4" borderId="12" xfId="0" applyFont="1" applyFill="1" applyBorder="1" applyAlignment="1">
      <alignment horizontal="center" vertical="center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vertical="center"/>
      <protection locked="0"/>
    </xf>
    <xf numFmtId="0" fontId="11" fillId="3" borderId="10" xfId="0" applyFont="1" applyFill="1" applyBorder="1" applyAlignment="1" applyProtection="1">
      <alignment horizontal="left" vertical="center"/>
      <protection locked="0"/>
    </xf>
    <xf numFmtId="0" fontId="0" fillId="3" borderId="10" xfId="0" applyFill="1" applyBorder="1" applyAlignment="1">
      <alignment vertical="center"/>
    </xf>
    <xf numFmtId="0" fontId="0" fillId="3" borderId="10" xfId="0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17" fillId="2" borderId="18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ill="1" applyBorder="1"/>
    <xf numFmtId="0" fontId="11" fillId="3" borderId="19" xfId="0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0" fillId="4" borderId="14" xfId="0" applyFont="1" applyFill="1" applyBorder="1" applyAlignment="1">
      <alignment horizontal="center" vertical="center" wrapText="1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8" fillId="2" borderId="16" xfId="0" applyFont="1" applyFill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 wrapText="1"/>
    </xf>
    <xf numFmtId="0" fontId="17" fillId="2" borderId="21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19" fillId="2" borderId="20" xfId="0" applyFont="1" applyFill="1" applyBorder="1" applyAlignment="1">
      <alignment horizontal="center" vertical="center" wrapText="1"/>
    </xf>
    <xf numFmtId="0" fontId="17" fillId="2" borderId="22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6" fillId="4" borderId="23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 wrapText="1"/>
    </xf>
    <xf numFmtId="0" fontId="20" fillId="2" borderId="16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/>
    <xf numFmtId="0" fontId="10" fillId="4" borderId="14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17" fillId="2" borderId="16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center" vertical="center"/>
    </xf>
    <xf numFmtId="0" fontId="17" fillId="2" borderId="21" xfId="0" applyFont="1" applyFill="1" applyBorder="1" applyAlignment="1">
      <alignment horizontal="center" vertical="center"/>
    </xf>
    <xf numFmtId="0" fontId="17" fillId="2" borderId="17" xfId="0" applyFont="1" applyFill="1" applyBorder="1" applyAlignment="1">
      <alignment horizontal="center" vertical="center"/>
    </xf>
    <xf numFmtId="0" fontId="0" fillId="0" borderId="0" xfId="0" applyAlignment="1"/>
    <xf numFmtId="0" fontId="20" fillId="2" borderId="15" xfId="0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47625</xdr:colOff>
      <xdr:row>2</xdr:row>
      <xdr:rowOff>19942</xdr:rowOff>
    </xdr:from>
    <xdr:to>
      <xdr:col>12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506950" y="629542"/>
          <a:ext cx="1857375" cy="1104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19051</xdr:colOff>
      <xdr:row>2</xdr:row>
      <xdr:rowOff>19942</xdr:rowOff>
    </xdr:from>
    <xdr:to>
      <xdr:col>12</xdr:col>
      <xdr:colOff>1905001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344401" y="629542"/>
          <a:ext cx="188595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51"/>
  <sheetViews>
    <sheetView tabSelected="1" workbookViewId="0">
      <selection activeCell="F47" sqref="F47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27.140625" customWidth="1"/>
    <col min="6" max="6" width="26.5703125" bestFit="1" customWidth="1"/>
    <col min="7" max="7" width="25.28515625" bestFit="1" customWidth="1"/>
    <col min="8" max="8" width="15.42578125" bestFit="1" customWidth="1"/>
    <col min="9" max="9" width="17" bestFit="1" customWidth="1"/>
    <col min="10" max="10" width="9" bestFit="1" customWidth="1"/>
    <col min="11" max="11" width="18" bestFit="1" customWidth="1"/>
    <col min="12" max="12" width="15.5703125" bestFit="1" customWidth="1"/>
    <col min="13" max="13" width="29.42578125" customWidth="1"/>
  </cols>
  <sheetData>
    <row r="1" spans="1:13" ht="15.75" thickBot="1" x14ac:dyDescent="0.3">
      <c r="A1" s="1"/>
      <c r="B1" s="19"/>
      <c r="C1" s="19"/>
      <c r="D1" s="2"/>
      <c r="E1" s="2"/>
      <c r="F1" s="2"/>
      <c r="G1" s="2"/>
      <c r="H1" s="2"/>
      <c r="I1" s="2"/>
      <c r="J1" s="64"/>
      <c r="K1" s="64"/>
      <c r="L1" s="64"/>
      <c r="M1" s="64"/>
    </row>
    <row r="2" spans="1:13" ht="32.25" thickBot="1" x14ac:dyDescent="0.3">
      <c r="A2" s="1"/>
      <c r="B2" s="20"/>
      <c r="C2" s="45"/>
      <c r="D2" s="10" t="s">
        <v>0</v>
      </c>
      <c r="E2" s="10"/>
      <c r="F2" s="53" t="s">
        <v>234</v>
      </c>
      <c r="G2" s="11"/>
      <c r="H2" s="3"/>
      <c r="I2" s="3"/>
      <c r="J2" s="3"/>
      <c r="K2" s="3"/>
      <c r="L2" s="3"/>
      <c r="M2" s="42"/>
    </row>
    <row r="3" spans="1:13" x14ac:dyDescent="0.25">
      <c r="A3" s="1"/>
      <c r="B3" s="21"/>
      <c r="C3" s="46"/>
      <c r="D3" s="12" t="s">
        <v>1</v>
      </c>
      <c r="E3" s="12"/>
      <c r="F3" s="54" t="s">
        <v>235</v>
      </c>
      <c r="G3" s="12"/>
      <c r="H3" s="4"/>
      <c r="I3" s="4"/>
      <c r="J3" s="4"/>
      <c r="K3" s="4"/>
      <c r="L3" s="4"/>
      <c r="M3" s="65"/>
    </row>
    <row r="4" spans="1:13" x14ac:dyDescent="0.25">
      <c r="A4" s="1"/>
      <c r="B4" s="21"/>
      <c r="C4" s="46"/>
      <c r="D4" s="12" t="s">
        <v>2</v>
      </c>
      <c r="E4" s="12"/>
      <c r="F4" s="54" t="s">
        <v>235</v>
      </c>
      <c r="G4" s="13"/>
      <c r="H4" s="6"/>
      <c r="I4" s="6"/>
      <c r="J4" s="6"/>
      <c r="K4" s="6"/>
      <c r="L4" s="6"/>
      <c r="M4" s="66"/>
    </row>
    <row r="5" spans="1:13" x14ac:dyDescent="0.25">
      <c r="A5" s="1"/>
      <c r="B5" s="21"/>
      <c r="C5" s="46"/>
      <c r="D5" s="12" t="s">
        <v>3</v>
      </c>
      <c r="E5" s="12"/>
      <c r="F5" s="55" t="s">
        <v>5</v>
      </c>
      <c r="G5" s="14"/>
      <c r="H5" s="5"/>
      <c r="I5" s="5"/>
      <c r="J5" s="5"/>
      <c r="K5" s="5"/>
      <c r="L5" s="5"/>
      <c r="M5" s="66"/>
    </row>
    <row r="6" spans="1:13" x14ac:dyDescent="0.25">
      <c r="A6" s="1"/>
      <c r="B6" s="22"/>
      <c r="C6" s="47"/>
      <c r="D6" s="15"/>
      <c r="E6" s="15"/>
      <c r="F6" s="16"/>
      <c r="G6" s="14"/>
      <c r="H6" s="5"/>
      <c r="I6" s="5"/>
      <c r="J6" s="5"/>
      <c r="K6" s="5"/>
      <c r="L6" s="5"/>
      <c r="M6" s="66"/>
    </row>
    <row r="7" spans="1:13" x14ac:dyDescent="0.25">
      <c r="A7" s="1"/>
      <c r="B7" s="23"/>
      <c r="C7" s="48"/>
      <c r="D7" s="17"/>
      <c r="E7" s="17"/>
      <c r="F7" s="18"/>
      <c r="G7" s="17"/>
      <c r="H7" s="7"/>
      <c r="I7" s="7"/>
      <c r="J7" s="7"/>
      <c r="K7" s="7"/>
      <c r="L7" s="7"/>
      <c r="M7" s="66"/>
    </row>
    <row r="8" spans="1:13" ht="15.75" thickBot="1" x14ac:dyDescent="0.3">
      <c r="A8" s="1"/>
      <c r="B8" s="26"/>
      <c r="C8" s="49"/>
      <c r="D8" s="27"/>
      <c r="E8" s="27"/>
      <c r="F8" s="28"/>
      <c r="G8" s="17"/>
      <c r="H8" s="7"/>
      <c r="I8" s="7"/>
      <c r="J8" s="7"/>
      <c r="K8" s="7"/>
      <c r="L8" s="7"/>
      <c r="M8" s="66"/>
    </row>
    <row r="9" spans="1:13" ht="15.75" thickBot="1" x14ac:dyDescent="0.3">
      <c r="A9" s="1"/>
      <c r="B9" s="67" t="s">
        <v>4</v>
      </c>
      <c r="C9" s="29" t="s">
        <v>6</v>
      </c>
      <c r="D9" s="30" t="s">
        <v>14</v>
      </c>
      <c r="E9" s="29" t="s">
        <v>53</v>
      </c>
      <c r="F9" s="30" t="s">
        <v>94</v>
      </c>
      <c r="G9" s="29" t="s">
        <v>124</v>
      </c>
      <c r="H9" s="30" t="s">
        <v>148</v>
      </c>
      <c r="I9" s="29" t="s">
        <v>166</v>
      </c>
      <c r="J9" s="29" t="s">
        <v>205</v>
      </c>
      <c r="K9" s="29" t="s">
        <v>226</v>
      </c>
      <c r="L9" s="29" t="s">
        <v>243</v>
      </c>
      <c r="M9" s="31" t="s">
        <v>233</v>
      </c>
    </row>
    <row r="10" spans="1:13" ht="15.75" thickBot="1" x14ac:dyDescent="0.3">
      <c r="A10" s="1"/>
      <c r="B10" s="52">
        <f>ROW(B10) - ROW($B$9)</f>
        <v>1</v>
      </c>
      <c r="C10" s="56" t="s">
        <v>7</v>
      </c>
      <c r="D10" s="68" t="s">
        <v>236</v>
      </c>
      <c r="E10" s="39" t="s">
        <v>54</v>
      </c>
      <c r="F10" s="38" t="s">
        <v>95</v>
      </c>
      <c r="G10" s="39" t="s">
        <v>125</v>
      </c>
      <c r="H10" s="38" t="s">
        <v>149</v>
      </c>
      <c r="I10" s="38" t="s">
        <v>167</v>
      </c>
      <c r="J10" s="57" t="s">
        <v>181</v>
      </c>
      <c r="K10" s="38">
        <v>9</v>
      </c>
      <c r="L10" s="38">
        <v>60</v>
      </c>
      <c r="M10" s="40"/>
    </row>
    <row r="11" spans="1:13" ht="72.75" thickBot="1" x14ac:dyDescent="0.3">
      <c r="A11" s="1"/>
      <c r="B11" s="52">
        <f>ROW(B11) - ROW($B$9)</f>
        <v>2</v>
      </c>
      <c r="C11" s="56" t="s">
        <v>7</v>
      </c>
      <c r="D11" s="68" t="s">
        <v>15</v>
      </c>
      <c r="E11" s="39" t="s">
        <v>55</v>
      </c>
      <c r="F11" s="38" t="s">
        <v>96</v>
      </c>
      <c r="G11" s="39" t="s">
        <v>126</v>
      </c>
      <c r="H11" s="38" t="s">
        <v>149</v>
      </c>
      <c r="I11" s="38" t="s">
        <v>168</v>
      </c>
      <c r="J11" s="57" t="s">
        <v>182</v>
      </c>
      <c r="K11" s="38">
        <v>51</v>
      </c>
      <c r="L11" s="38">
        <v>300</v>
      </c>
      <c r="M11" s="41"/>
    </row>
    <row r="12" spans="1:13" ht="24.75" thickBot="1" x14ac:dyDescent="0.3">
      <c r="A12" s="1"/>
      <c r="B12" s="52">
        <f t="shared" ref="B12:B48" si="0">ROW(B12) - ROW($B$9)</f>
        <v>3</v>
      </c>
      <c r="C12" s="56" t="s">
        <v>7</v>
      </c>
      <c r="D12" s="69" t="s">
        <v>16</v>
      </c>
      <c r="E12" s="38" t="s">
        <v>56</v>
      </c>
      <c r="F12" s="38" t="s">
        <v>97</v>
      </c>
      <c r="G12" s="39" t="s">
        <v>127</v>
      </c>
      <c r="H12" s="38" t="s">
        <v>149</v>
      </c>
      <c r="I12" s="38" t="s">
        <v>206</v>
      </c>
      <c r="J12" s="57" t="s">
        <v>183</v>
      </c>
      <c r="K12" s="58">
        <v>12</v>
      </c>
      <c r="L12" s="38">
        <v>100</v>
      </c>
      <c r="M12" s="40"/>
    </row>
    <row r="13" spans="1:13" ht="15.75" thickBot="1" x14ac:dyDescent="0.3">
      <c r="A13" s="1"/>
      <c r="B13" s="52">
        <f>ROW(B13) - ROW($B$9)</f>
        <v>4</v>
      </c>
      <c r="C13" s="56" t="s">
        <v>7</v>
      </c>
      <c r="D13" s="68" t="s">
        <v>17</v>
      </c>
      <c r="E13" s="39" t="s">
        <v>57</v>
      </c>
      <c r="F13" s="38" t="s">
        <v>98</v>
      </c>
      <c r="G13" s="39" t="s">
        <v>128</v>
      </c>
      <c r="H13" s="38" t="s">
        <v>150</v>
      </c>
      <c r="I13" s="38" t="s">
        <v>169</v>
      </c>
      <c r="J13" s="57" t="s">
        <v>184</v>
      </c>
      <c r="K13" s="38">
        <v>2</v>
      </c>
      <c r="L13" s="38">
        <v>11</v>
      </c>
      <c r="M13" s="41"/>
    </row>
    <row r="14" spans="1:13" ht="24.75" thickBot="1" x14ac:dyDescent="0.3">
      <c r="A14" s="1"/>
      <c r="B14" s="52">
        <f>ROW(B14) - ROW($B$9)</f>
        <v>5</v>
      </c>
      <c r="C14" s="56" t="s">
        <v>7</v>
      </c>
      <c r="D14" s="69" t="s">
        <v>18</v>
      </c>
      <c r="E14" s="38" t="s">
        <v>58</v>
      </c>
      <c r="F14" s="38" t="s">
        <v>95</v>
      </c>
      <c r="G14" s="38" t="s">
        <v>227</v>
      </c>
      <c r="H14" s="38" t="s">
        <v>149</v>
      </c>
      <c r="I14" s="38" t="s">
        <v>207</v>
      </c>
      <c r="J14" s="57" t="s">
        <v>185</v>
      </c>
      <c r="K14" s="58">
        <v>16</v>
      </c>
      <c r="L14" s="38">
        <v>100</v>
      </c>
      <c r="M14" s="40"/>
    </row>
    <row r="15" spans="1:13" ht="15.75" thickBot="1" x14ac:dyDescent="0.3">
      <c r="A15" s="1"/>
      <c r="B15" s="52">
        <f t="shared" si="0"/>
        <v>6</v>
      </c>
      <c r="C15" s="56" t="s">
        <v>7</v>
      </c>
      <c r="D15" s="68" t="s">
        <v>19</v>
      </c>
      <c r="E15" s="39" t="s">
        <v>59</v>
      </c>
      <c r="F15" s="38" t="s">
        <v>99</v>
      </c>
      <c r="G15" s="39" t="s">
        <v>129</v>
      </c>
      <c r="H15" s="38" t="s">
        <v>151</v>
      </c>
      <c r="I15" s="38" t="s">
        <v>208</v>
      </c>
      <c r="J15" s="57" t="s">
        <v>186</v>
      </c>
      <c r="K15" s="38">
        <v>1</v>
      </c>
      <c r="L15" s="38">
        <v>10</v>
      </c>
      <c r="M15" s="41"/>
    </row>
    <row r="16" spans="1:13" ht="24.75" thickBot="1" x14ac:dyDescent="0.3">
      <c r="A16" s="1"/>
      <c r="B16" s="52">
        <f>ROW(B16) - ROW($B$9)</f>
        <v>7</v>
      </c>
      <c r="C16" s="56" t="s">
        <v>7</v>
      </c>
      <c r="D16" s="69" t="s">
        <v>20</v>
      </c>
      <c r="E16" s="38" t="s">
        <v>60</v>
      </c>
      <c r="F16" s="38" t="s">
        <v>99</v>
      </c>
      <c r="G16" s="39" t="s">
        <v>130</v>
      </c>
      <c r="H16" s="38" t="s">
        <v>149</v>
      </c>
      <c r="I16" s="38" t="s">
        <v>209</v>
      </c>
      <c r="J16" s="57" t="s">
        <v>187</v>
      </c>
      <c r="K16" s="58">
        <v>6</v>
      </c>
      <c r="L16" s="38">
        <v>100</v>
      </c>
      <c r="M16" s="40"/>
    </row>
    <row r="17" spans="1:13" ht="72.75" thickBot="1" x14ac:dyDescent="0.3">
      <c r="A17" s="1"/>
      <c r="B17" s="52">
        <f>ROW(B17) - ROW($B$9)</f>
        <v>8</v>
      </c>
      <c r="C17" s="56" t="s">
        <v>7</v>
      </c>
      <c r="D17" s="68" t="s">
        <v>21</v>
      </c>
      <c r="E17" s="39" t="s">
        <v>61</v>
      </c>
      <c r="F17" s="38" t="s">
        <v>96</v>
      </c>
      <c r="G17" s="39" t="s">
        <v>131</v>
      </c>
      <c r="H17" s="38" t="s">
        <v>149</v>
      </c>
      <c r="I17" s="38" t="s">
        <v>170</v>
      </c>
      <c r="J17" s="57" t="s">
        <v>185</v>
      </c>
      <c r="K17" s="38">
        <v>48</v>
      </c>
      <c r="L17" s="38">
        <v>300</v>
      </c>
      <c r="M17" s="41"/>
    </row>
    <row r="18" spans="1:13" ht="24.75" thickBot="1" x14ac:dyDescent="0.3">
      <c r="A18" s="1"/>
      <c r="B18" s="52">
        <f>ROW(B18) - ROW($B$9)</f>
        <v>9</v>
      </c>
      <c r="C18" s="56" t="s">
        <v>7</v>
      </c>
      <c r="D18" s="69" t="s">
        <v>22</v>
      </c>
      <c r="E18" s="39" t="s">
        <v>62</v>
      </c>
      <c r="F18" s="38" t="s">
        <v>95</v>
      </c>
      <c r="G18" s="38" t="s">
        <v>237</v>
      </c>
      <c r="H18" s="38" t="s">
        <v>152</v>
      </c>
      <c r="I18" s="38" t="s">
        <v>241</v>
      </c>
      <c r="J18" s="57" t="s">
        <v>188</v>
      </c>
      <c r="K18" s="38">
        <v>11</v>
      </c>
      <c r="L18" s="38">
        <v>60</v>
      </c>
      <c r="M18" s="40"/>
    </row>
    <row r="19" spans="1:13" ht="15.75" thickBot="1" x14ac:dyDescent="0.3">
      <c r="A19" s="1"/>
      <c r="B19" s="52">
        <f>ROW(B19) - ROW($B$9)</f>
        <v>10</v>
      </c>
      <c r="C19" s="56" t="s">
        <v>7</v>
      </c>
      <c r="D19" s="69" t="s">
        <v>23</v>
      </c>
      <c r="E19" s="38" t="s">
        <v>63</v>
      </c>
      <c r="F19" s="38" t="s">
        <v>95</v>
      </c>
      <c r="G19" s="39" t="s">
        <v>132</v>
      </c>
      <c r="H19" s="38" t="s">
        <v>149</v>
      </c>
      <c r="I19" s="38" t="s">
        <v>171</v>
      </c>
      <c r="J19" s="57" t="s">
        <v>189</v>
      </c>
      <c r="K19" s="58">
        <v>4</v>
      </c>
      <c r="L19" s="38">
        <v>100</v>
      </c>
      <c r="M19" s="41"/>
    </row>
    <row r="20" spans="1:13" ht="15.75" thickBot="1" x14ac:dyDescent="0.3">
      <c r="A20" s="1"/>
      <c r="B20" s="52">
        <f t="shared" si="0"/>
        <v>11</v>
      </c>
      <c r="C20" s="56" t="s">
        <v>7</v>
      </c>
      <c r="D20" s="68" t="s">
        <v>24</v>
      </c>
      <c r="E20" s="39" t="s">
        <v>64</v>
      </c>
      <c r="F20" s="38" t="s">
        <v>99</v>
      </c>
      <c r="G20" s="39" t="s">
        <v>133</v>
      </c>
      <c r="H20" s="38" t="s">
        <v>149</v>
      </c>
      <c r="I20" s="38" t="s">
        <v>210</v>
      </c>
      <c r="J20" s="57" t="s">
        <v>190</v>
      </c>
      <c r="K20" s="38">
        <v>1</v>
      </c>
      <c r="L20" s="38">
        <v>100</v>
      </c>
      <c r="M20" s="40"/>
    </row>
    <row r="21" spans="1:13" ht="15.75" thickBot="1" x14ac:dyDescent="0.3">
      <c r="A21" s="1"/>
      <c r="B21" s="52">
        <f>ROW(B21) - ROW($B$9)</f>
        <v>12</v>
      </c>
      <c r="C21" s="56" t="s">
        <v>7</v>
      </c>
      <c r="D21" s="69" t="s">
        <v>25</v>
      </c>
      <c r="E21" s="38" t="s">
        <v>65</v>
      </c>
      <c r="F21" s="38" t="s">
        <v>95</v>
      </c>
      <c r="G21" s="39" t="s">
        <v>134</v>
      </c>
      <c r="H21" s="38" t="s">
        <v>149</v>
      </c>
      <c r="I21" s="38" t="s">
        <v>172</v>
      </c>
      <c r="J21" s="57" t="s">
        <v>191</v>
      </c>
      <c r="K21" s="58">
        <v>8</v>
      </c>
      <c r="L21" s="38">
        <v>100</v>
      </c>
      <c r="M21" s="41"/>
    </row>
    <row r="22" spans="1:13" ht="36.75" thickBot="1" x14ac:dyDescent="0.3">
      <c r="A22" s="1"/>
      <c r="B22" s="52">
        <f t="shared" si="0"/>
        <v>13</v>
      </c>
      <c r="C22" s="56" t="s">
        <v>199</v>
      </c>
      <c r="D22" s="69" t="s">
        <v>26</v>
      </c>
      <c r="E22" s="38" t="s">
        <v>66</v>
      </c>
      <c r="F22" s="38" t="s">
        <v>238</v>
      </c>
      <c r="G22" s="39" t="s">
        <v>100</v>
      </c>
      <c r="H22" s="38" t="s">
        <v>153</v>
      </c>
      <c r="I22" s="38" t="s">
        <v>211</v>
      </c>
      <c r="J22" s="57" t="s">
        <v>212</v>
      </c>
      <c r="K22" s="58">
        <v>1</v>
      </c>
      <c r="L22" s="38">
        <v>10</v>
      </c>
      <c r="M22" s="40"/>
    </row>
    <row r="23" spans="1:13" ht="15.75" thickBot="1" x14ac:dyDescent="0.3">
      <c r="A23" s="1"/>
      <c r="B23" s="52">
        <f>ROW(B23) - ROW($B$9)</f>
        <v>14</v>
      </c>
      <c r="C23" s="56" t="s">
        <v>199</v>
      </c>
      <c r="D23" s="68" t="s">
        <v>27</v>
      </c>
      <c r="E23" s="39" t="s">
        <v>67</v>
      </c>
      <c r="F23" s="38" t="s">
        <v>101</v>
      </c>
      <c r="G23" s="39" t="s">
        <v>135</v>
      </c>
      <c r="H23" s="38" t="s">
        <v>154</v>
      </c>
      <c r="I23" s="38" t="s">
        <v>213</v>
      </c>
      <c r="J23" s="57" t="s">
        <v>212</v>
      </c>
      <c r="K23" s="38">
        <v>1</v>
      </c>
      <c r="L23" s="38">
        <v>10</v>
      </c>
      <c r="M23" s="41"/>
    </row>
    <row r="24" spans="1:13" ht="15.75" thickBot="1" x14ac:dyDescent="0.3">
      <c r="A24" s="1"/>
      <c r="B24" s="52">
        <v>15</v>
      </c>
      <c r="C24" s="56" t="s">
        <v>8</v>
      </c>
      <c r="D24" s="37" t="s">
        <v>28</v>
      </c>
      <c r="E24" s="37" t="s">
        <v>68</v>
      </c>
      <c r="F24" s="37" t="s">
        <v>102</v>
      </c>
      <c r="G24" s="37" t="s">
        <v>136</v>
      </c>
      <c r="H24" s="37" t="s">
        <v>155</v>
      </c>
      <c r="I24" s="37" t="s">
        <v>173</v>
      </c>
      <c r="J24" s="37" t="s">
        <v>212</v>
      </c>
      <c r="K24" s="37">
        <v>2</v>
      </c>
      <c r="L24" s="38">
        <v>20</v>
      </c>
      <c r="M24" s="40"/>
    </row>
    <row r="25" spans="1:13" ht="15.75" thickBot="1" x14ac:dyDescent="0.3">
      <c r="A25" s="1"/>
      <c r="B25" s="52">
        <f t="shared" si="0"/>
        <v>16</v>
      </c>
      <c r="C25" s="56" t="s">
        <v>200</v>
      </c>
      <c r="D25" s="69" t="s">
        <v>29</v>
      </c>
      <c r="E25" s="38" t="s">
        <v>69</v>
      </c>
      <c r="F25" s="38" t="s">
        <v>103</v>
      </c>
      <c r="G25" s="38" t="s">
        <v>228</v>
      </c>
      <c r="H25" s="38" t="s">
        <v>156</v>
      </c>
      <c r="I25" s="38" t="s">
        <v>214</v>
      </c>
      <c r="J25" s="57" t="s">
        <v>212</v>
      </c>
      <c r="K25" s="58">
        <v>1</v>
      </c>
      <c r="L25" s="38">
        <v>20</v>
      </c>
      <c r="M25" s="41"/>
    </row>
    <row r="26" spans="1:13" ht="36.75" thickBot="1" x14ac:dyDescent="0.3">
      <c r="A26" s="1"/>
      <c r="B26" s="52">
        <f>ROW(B26) - ROW($B$9)</f>
        <v>17</v>
      </c>
      <c r="C26" s="56" t="s">
        <v>9</v>
      </c>
      <c r="D26" s="68" t="s">
        <v>30</v>
      </c>
      <c r="E26" s="39" t="s">
        <v>70</v>
      </c>
      <c r="F26" s="38" t="s">
        <v>230</v>
      </c>
      <c r="G26" s="39" t="s">
        <v>104</v>
      </c>
      <c r="H26" s="38" t="s">
        <v>157</v>
      </c>
      <c r="I26" s="38" t="s">
        <v>174</v>
      </c>
      <c r="J26" s="57" t="s">
        <v>212</v>
      </c>
      <c r="K26" s="38">
        <v>1</v>
      </c>
      <c r="L26" s="38">
        <v>10</v>
      </c>
      <c r="M26" s="40"/>
    </row>
    <row r="27" spans="1:13" ht="24.75" thickBot="1" x14ac:dyDescent="0.3">
      <c r="A27" s="1"/>
      <c r="B27" s="52">
        <f t="shared" si="0"/>
        <v>18</v>
      </c>
      <c r="C27" s="56" t="s">
        <v>10</v>
      </c>
      <c r="D27" s="69" t="s">
        <v>31</v>
      </c>
      <c r="E27" s="38" t="s">
        <v>71</v>
      </c>
      <c r="F27" s="38" t="s">
        <v>230</v>
      </c>
      <c r="G27" s="39" t="s">
        <v>105</v>
      </c>
      <c r="H27" s="38" t="s">
        <v>158</v>
      </c>
      <c r="I27" s="38" t="s">
        <v>212</v>
      </c>
      <c r="J27" s="57" t="s">
        <v>212</v>
      </c>
      <c r="K27" s="58">
        <v>8</v>
      </c>
      <c r="L27" s="38">
        <v>45</v>
      </c>
      <c r="M27" s="41"/>
    </row>
    <row r="28" spans="1:13" ht="15.75" thickBot="1" x14ac:dyDescent="0.3">
      <c r="A28" s="1"/>
      <c r="B28" s="52">
        <f>ROW(B28) - ROW($B$9)</f>
        <v>19</v>
      </c>
      <c r="C28" s="56" t="s">
        <v>10</v>
      </c>
      <c r="D28" s="68" t="s">
        <v>32</v>
      </c>
      <c r="E28" s="39" t="s">
        <v>72</v>
      </c>
      <c r="F28" s="38" t="s">
        <v>230</v>
      </c>
      <c r="G28" s="39" t="s">
        <v>106</v>
      </c>
      <c r="H28" s="38" t="s">
        <v>158</v>
      </c>
      <c r="I28" s="38" t="s">
        <v>212</v>
      </c>
      <c r="J28" s="57" t="s">
        <v>212</v>
      </c>
      <c r="K28" s="38">
        <v>4</v>
      </c>
      <c r="L28" s="38">
        <v>25</v>
      </c>
      <c r="M28" s="40"/>
    </row>
    <row r="29" spans="1:13" ht="15.75" thickBot="1" x14ac:dyDescent="0.3">
      <c r="A29" s="1"/>
      <c r="B29" s="52">
        <f t="shared" si="0"/>
        <v>20</v>
      </c>
      <c r="C29" s="56" t="s">
        <v>200</v>
      </c>
      <c r="D29" s="69" t="s">
        <v>33</v>
      </c>
      <c r="E29" s="38" t="s">
        <v>73</v>
      </c>
      <c r="F29" s="38" t="s">
        <v>107</v>
      </c>
      <c r="G29" s="38" t="s">
        <v>229</v>
      </c>
      <c r="H29" s="38" t="s">
        <v>159</v>
      </c>
      <c r="I29" s="38" t="s">
        <v>215</v>
      </c>
      <c r="J29" s="57" t="s">
        <v>212</v>
      </c>
      <c r="K29" s="58">
        <v>1</v>
      </c>
      <c r="L29" s="38">
        <v>20</v>
      </c>
      <c r="M29" s="41"/>
    </row>
    <row r="30" spans="1:13" ht="15.75" thickBot="1" x14ac:dyDescent="0.3">
      <c r="A30" s="1"/>
      <c r="B30" s="52">
        <f>ROW(B30) - ROW($B$9)</f>
        <v>21</v>
      </c>
      <c r="C30" s="56" t="s">
        <v>201</v>
      </c>
      <c r="D30" s="62" t="s">
        <v>34</v>
      </c>
      <c r="E30" s="70" t="s">
        <v>74</v>
      </c>
      <c r="F30" s="59" t="s">
        <v>230</v>
      </c>
      <c r="G30" s="70" t="s">
        <v>108</v>
      </c>
      <c r="H30" s="59" t="s">
        <v>212</v>
      </c>
      <c r="I30" s="59" t="s">
        <v>212</v>
      </c>
      <c r="J30" s="60" t="s">
        <v>212</v>
      </c>
      <c r="K30" s="59">
        <v>5</v>
      </c>
      <c r="L30" s="59"/>
      <c r="M30" s="63"/>
    </row>
    <row r="31" spans="1:13" ht="15.75" thickBot="1" x14ac:dyDescent="0.3">
      <c r="A31" s="1"/>
      <c r="B31" s="52">
        <f t="shared" si="0"/>
        <v>22</v>
      </c>
      <c r="C31" s="56" t="s">
        <v>11</v>
      </c>
      <c r="D31" s="69" t="s">
        <v>35</v>
      </c>
      <c r="E31" s="38" t="s">
        <v>75</v>
      </c>
      <c r="F31" s="38" t="s">
        <v>109</v>
      </c>
      <c r="G31" s="38" t="s">
        <v>232</v>
      </c>
      <c r="H31" s="38" t="s">
        <v>156</v>
      </c>
      <c r="I31" s="38" t="s">
        <v>216</v>
      </c>
      <c r="J31" s="57" t="s">
        <v>192</v>
      </c>
      <c r="K31" s="58">
        <v>3</v>
      </c>
      <c r="L31" s="38">
        <v>100</v>
      </c>
      <c r="M31" s="41"/>
    </row>
    <row r="32" spans="1:13" ht="15.75" thickBot="1" x14ac:dyDescent="0.3">
      <c r="A32" s="1"/>
      <c r="B32" s="52">
        <f>ROW(B32) - ROW($B$9)</f>
        <v>23</v>
      </c>
      <c r="C32" s="56" t="s">
        <v>11</v>
      </c>
      <c r="D32" s="68" t="s">
        <v>36</v>
      </c>
      <c r="E32" s="39" t="s">
        <v>76</v>
      </c>
      <c r="F32" s="38" t="s">
        <v>110</v>
      </c>
      <c r="G32" s="39" t="s">
        <v>137</v>
      </c>
      <c r="H32" s="38" t="s">
        <v>149</v>
      </c>
      <c r="I32" s="38" t="s">
        <v>175</v>
      </c>
      <c r="J32" s="57" t="s">
        <v>193</v>
      </c>
      <c r="K32" s="38">
        <v>8</v>
      </c>
      <c r="L32" s="38">
        <v>100</v>
      </c>
      <c r="M32" s="40"/>
    </row>
    <row r="33" spans="1:13" ht="15.75" thickBot="1" x14ac:dyDescent="0.3">
      <c r="A33" s="1"/>
      <c r="B33" s="52">
        <f t="shared" si="0"/>
        <v>24</v>
      </c>
      <c r="C33" s="56" t="s">
        <v>11</v>
      </c>
      <c r="D33" s="69" t="s">
        <v>37</v>
      </c>
      <c r="E33" s="38" t="s">
        <v>77</v>
      </c>
      <c r="F33" s="38" t="s">
        <v>109</v>
      </c>
      <c r="G33" s="39" t="s">
        <v>138</v>
      </c>
      <c r="H33" s="38" t="s">
        <v>149</v>
      </c>
      <c r="I33" s="38" t="s">
        <v>217</v>
      </c>
      <c r="J33" s="57" t="s">
        <v>194</v>
      </c>
      <c r="K33" s="58">
        <v>3</v>
      </c>
      <c r="L33" s="38">
        <v>100</v>
      </c>
      <c r="M33" s="41"/>
    </row>
    <row r="34" spans="1:13" ht="24.75" thickBot="1" x14ac:dyDescent="0.3">
      <c r="A34" s="1"/>
      <c r="B34" s="52">
        <f>ROW(B34) - ROW($B$9)</f>
        <v>25</v>
      </c>
      <c r="C34" s="56" t="s">
        <v>11</v>
      </c>
      <c r="D34" s="68" t="s">
        <v>38</v>
      </c>
      <c r="E34" s="39" t="s">
        <v>78</v>
      </c>
      <c r="F34" s="38" t="s">
        <v>110</v>
      </c>
      <c r="G34" s="39" t="s">
        <v>139</v>
      </c>
      <c r="H34" s="38" t="s">
        <v>149</v>
      </c>
      <c r="I34" s="38" t="s">
        <v>176</v>
      </c>
      <c r="J34" s="57" t="s">
        <v>195</v>
      </c>
      <c r="K34" s="38">
        <v>10</v>
      </c>
      <c r="L34" s="38">
        <v>100</v>
      </c>
      <c r="M34" s="40"/>
    </row>
    <row r="35" spans="1:13" ht="24.75" thickBot="1" x14ac:dyDescent="0.3">
      <c r="A35" s="1"/>
      <c r="B35" s="52">
        <f t="shared" si="0"/>
        <v>26</v>
      </c>
      <c r="C35" s="56" t="s">
        <v>11</v>
      </c>
      <c r="D35" s="69" t="s">
        <v>39</v>
      </c>
      <c r="E35" s="38" t="s">
        <v>79</v>
      </c>
      <c r="F35" s="38" t="s">
        <v>109</v>
      </c>
      <c r="G35" s="39" t="s">
        <v>140</v>
      </c>
      <c r="H35" s="38" t="s">
        <v>149</v>
      </c>
      <c r="I35" s="38" t="s">
        <v>218</v>
      </c>
      <c r="J35" s="57" t="s">
        <v>196</v>
      </c>
      <c r="K35" s="58">
        <v>2</v>
      </c>
      <c r="L35" s="38">
        <v>100</v>
      </c>
      <c r="M35" s="41"/>
    </row>
    <row r="36" spans="1:13" ht="24.75" thickBot="1" x14ac:dyDescent="0.3">
      <c r="A36" s="1"/>
      <c r="B36" s="52">
        <f>ROW(B36) - ROW($B$9)</f>
        <v>27</v>
      </c>
      <c r="C36" s="56" t="s">
        <v>11</v>
      </c>
      <c r="D36" s="68" t="s">
        <v>239</v>
      </c>
      <c r="E36" s="39" t="s">
        <v>80</v>
      </c>
      <c r="F36" s="38" t="s">
        <v>111</v>
      </c>
      <c r="G36" s="39" t="s">
        <v>141</v>
      </c>
      <c r="H36" s="38" t="s">
        <v>149</v>
      </c>
      <c r="I36" s="38" t="s">
        <v>177</v>
      </c>
      <c r="J36" s="57" t="s">
        <v>197</v>
      </c>
      <c r="K36" s="38">
        <v>17</v>
      </c>
      <c r="L36" s="38">
        <v>100</v>
      </c>
      <c r="M36" s="40"/>
    </row>
    <row r="37" spans="1:13" ht="15.75" thickBot="1" x14ac:dyDescent="0.3">
      <c r="A37" s="1"/>
      <c r="B37" s="52">
        <f>ROW(B37) - ROW($B$9)</f>
        <v>28</v>
      </c>
      <c r="C37" s="56" t="s">
        <v>11</v>
      </c>
      <c r="D37" s="69" t="s">
        <v>40</v>
      </c>
      <c r="E37" s="38" t="s">
        <v>81</v>
      </c>
      <c r="F37" s="38" t="s">
        <v>110</v>
      </c>
      <c r="G37" s="39" t="s">
        <v>142</v>
      </c>
      <c r="H37" s="38" t="s">
        <v>149</v>
      </c>
      <c r="I37" s="38" t="s">
        <v>178</v>
      </c>
      <c r="J37" s="57" t="s">
        <v>198</v>
      </c>
      <c r="K37" s="58">
        <v>4</v>
      </c>
      <c r="L37" s="38">
        <v>100</v>
      </c>
      <c r="M37" s="41"/>
    </row>
    <row r="38" spans="1:13" ht="180.75" thickBot="1" x14ac:dyDescent="0.3">
      <c r="A38" s="1"/>
      <c r="B38" s="52">
        <f t="shared" si="0"/>
        <v>29</v>
      </c>
      <c r="C38" s="56" t="s">
        <v>202</v>
      </c>
      <c r="D38" s="62" t="s">
        <v>41</v>
      </c>
      <c r="E38" s="70" t="s">
        <v>82</v>
      </c>
      <c r="F38" s="59" t="s">
        <v>230</v>
      </c>
      <c r="G38" s="70" t="s">
        <v>112</v>
      </c>
      <c r="H38" s="59" t="s">
        <v>212</v>
      </c>
      <c r="I38" s="59" t="s">
        <v>212</v>
      </c>
      <c r="J38" s="60" t="s">
        <v>212</v>
      </c>
      <c r="K38" s="59">
        <v>106</v>
      </c>
      <c r="L38" s="59"/>
      <c r="M38" s="63"/>
    </row>
    <row r="39" spans="1:13" ht="36.75" thickBot="1" x14ac:dyDescent="0.3">
      <c r="A39" s="1"/>
      <c r="B39" s="52">
        <f>ROW(B39) - ROW($B$9)</f>
        <v>30</v>
      </c>
      <c r="C39" s="56" t="s">
        <v>203</v>
      </c>
      <c r="D39" s="69" t="s">
        <v>42</v>
      </c>
      <c r="E39" s="38" t="s">
        <v>83</v>
      </c>
      <c r="F39" s="38" t="s">
        <v>230</v>
      </c>
      <c r="G39" s="39" t="s">
        <v>113</v>
      </c>
      <c r="H39" s="38" t="s">
        <v>157</v>
      </c>
      <c r="I39" s="38" t="s">
        <v>219</v>
      </c>
      <c r="J39" s="57" t="s">
        <v>212</v>
      </c>
      <c r="K39" s="58">
        <v>1</v>
      </c>
      <c r="L39" s="38">
        <v>10</v>
      </c>
      <c r="M39" s="41"/>
    </row>
    <row r="40" spans="1:13" ht="24.75" thickBot="1" x14ac:dyDescent="0.3">
      <c r="A40" s="1"/>
      <c r="B40" s="52">
        <f t="shared" si="0"/>
        <v>31</v>
      </c>
      <c r="C40" s="56" t="s">
        <v>12</v>
      </c>
      <c r="D40" s="68" t="s">
        <v>43</v>
      </c>
      <c r="E40" s="39" t="s">
        <v>84</v>
      </c>
      <c r="F40" s="38" t="s">
        <v>230</v>
      </c>
      <c r="G40" s="39" t="s">
        <v>114</v>
      </c>
      <c r="H40" s="38" t="s">
        <v>160</v>
      </c>
      <c r="I40" s="38" t="s">
        <v>179</v>
      </c>
      <c r="J40" s="57" t="s">
        <v>212</v>
      </c>
      <c r="K40" s="38">
        <v>1</v>
      </c>
      <c r="L40" s="38">
        <v>6</v>
      </c>
      <c r="M40" s="40"/>
    </row>
    <row r="41" spans="1:13" ht="15.75" thickBot="1" x14ac:dyDescent="0.3">
      <c r="A41" s="1"/>
      <c r="B41" s="52">
        <f>ROW(B41) - ROW($B$9)</f>
        <v>32</v>
      </c>
      <c r="C41" s="56" t="s">
        <v>13</v>
      </c>
      <c r="D41" s="69" t="s">
        <v>44</v>
      </c>
      <c r="E41" s="38" t="s">
        <v>85</v>
      </c>
      <c r="F41" s="38" t="s">
        <v>115</v>
      </c>
      <c r="G41" s="39" t="s">
        <v>143</v>
      </c>
      <c r="H41" s="38" t="s">
        <v>154</v>
      </c>
      <c r="I41" s="38" t="s">
        <v>180</v>
      </c>
      <c r="J41" s="57" t="s">
        <v>212</v>
      </c>
      <c r="K41" s="58">
        <v>8</v>
      </c>
      <c r="L41" s="38">
        <v>42</v>
      </c>
      <c r="M41" s="41"/>
    </row>
    <row r="42" spans="1:13" ht="36.75" thickBot="1" x14ac:dyDescent="0.3">
      <c r="A42" s="1"/>
      <c r="B42" s="52">
        <f t="shared" si="0"/>
        <v>33</v>
      </c>
      <c r="C42" s="56" t="s">
        <v>13</v>
      </c>
      <c r="D42" s="68" t="s">
        <v>45</v>
      </c>
      <c r="E42" s="39" t="s">
        <v>86</v>
      </c>
      <c r="F42" s="38" t="s">
        <v>116</v>
      </c>
      <c r="G42" s="39" t="s">
        <v>144</v>
      </c>
      <c r="H42" s="38" t="s">
        <v>161</v>
      </c>
      <c r="I42" s="38" t="s">
        <v>220</v>
      </c>
      <c r="J42" s="57" t="s">
        <v>212</v>
      </c>
      <c r="K42" s="38">
        <v>1</v>
      </c>
      <c r="L42" s="38">
        <v>6</v>
      </c>
      <c r="M42" s="40"/>
    </row>
    <row r="43" spans="1:13" ht="24.75" thickBot="1" x14ac:dyDescent="0.3">
      <c r="A43" s="1"/>
      <c r="B43" s="52">
        <f>ROW(B43) - ROW($B$9)</f>
        <v>34</v>
      </c>
      <c r="C43" s="56" t="s">
        <v>13</v>
      </c>
      <c r="D43" s="69" t="s">
        <v>46</v>
      </c>
      <c r="E43" s="38" t="s">
        <v>87</v>
      </c>
      <c r="F43" s="38" t="s">
        <v>117</v>
      </c>
      <c r="G43" s="39" t="s">
        <v>145</v>
      </c>
      <c r="H43" s="38" t="s">
        <v>154</v>
      </c>
      <c r="I43" s="38" t="s">
        <v>212</v>
      </c>
      <c r="J43" s="57" t="s">
        <v>212</v>
      </c>
      <c r="K43" s="58">
        <v>1</v>
      </c>
      <c r="L43" s="38">
        <v>6</v>
      </c>
      <c r="M43" s="41"/>
    </row>
    <row r="44" spans="1:13" ht="24.75" thickBot="1" x14ac:dyDescent="0.3">
      <c r="A44" s="1"/>
      <c r="B44" s="52">
        <f t="shared" si="0"/>
        <v>35</v>
      </c>
      <c r="C44" s="56" t="s">
        <v>13</v>
      </c>
      <c r="D44" s="68" t="s">
        <v>47</v>
      </c>
      <c r="E44" s="39" t="s">
        <v>88</v>
      </c>
      <c r="F44" s="38" t="s">
        <v>240</v>
      </c>
      <c r="G44" s="39" t="s">
        <v>118</v>
      </c>
      <c r="H44" s="38" t="s">
        <v>154</v>
      </c>
      <c r="I44" s="38" t="s">
        <v>221</v>
      </c>
      <c r="J44" s="57" t="s">
        <v>212</v>
      </c>
      <c r="K44" s="38">
        <v>2</v>
      </c>
      <c r="L44" s="38">
        <v>11</v>
      </c>
      <c r="M44" s="40"/>
    </row>
    <row r="45" spans="1:13" ht="36.75" thickBot="1" x14ac:dyDescent="0.3">
      <c r="A45" s="1"/>
      <c r="B45" s="52">
        <f>ROW(B45) - ROW($B$9)</f>
        <v>36</v>
      </c>
      <c r="C45" s="56" t="s">
        <v>13</v>
      </c>
      <c r="D45" s="69" t="s">
        <v>48</v>
      </c>
      <c r="E45" s="38" t="s">
        <v>89</v>
      </c>
      <c r="F45" s="38" t="s">
        <v>231</v>
      </c>
      <c r="G45" s="71" t="s">
        <v>119</v>
      </c>
      <c r="H45" s="38" t="s">
        <v>162</v>
      </c>
      <c r="I45" s="38" t="s">
        <v>242</v>
      </c>
      <c r="J45" s="57" t="s">
        <v>212</v>
      </c>
      <c r="K45" s="58">
        <v>1</v>
      </c>
      <c r="L45" s="38">
        <v>10</v>
      </c>
      <c r="M45" s="41"/>
    </row>
    <row r="46" spans="1:13" ht="15.75" thickBot="1" x14ac:dyDescent="0.3">
      <c r="A46" s="1"/>
      <c r="B46" s="52">
        <f t="shared" si="0"/>
        <v>37</v>
      </c>
      <c r="C46" s="56" t="s">
        <v>13</v>
      </c>
      <c r="D46" s="68" t="s">
        <v>49</v>
      </c>
      <c r="E46" s="39" t="s">
        <v>90</v>
      </c>
      <c r="F46" s="38" t="s">
        <v>120</v>
      </c>
      <c r="G46" s="39" t="s">
        <v>146</v>
      </c>
      <c r="H46" s="38" t="s">
        <v>154</v>
      </c>
      <c r="I46" s="38" t="s">
        <v>212</v>
      </c>
      <c r="J46" s="57" t="s">
        <v>212</v>
      </c>
      <c r="K46" s="38">
        <v>1</v>
      </c>
      <c r="L46" s="38">
        <v>6</v>
      </c>
      <c r="M46" s="40"/>
    </row>
    <row r="47" spans="1:13" ht="15.75" thickBot="1" x14ac:dyDescent="0.3">
      <c r="A47" s="1"/>
      <c r="B47" s="52">
        <f>ROW(B47) - ROW($B$9)</f>
        <v>38</v>
      </c>
      <c r="C47" s="56" t="s">
        <v>13</v>
      </c>
      <c r="D47" s="69" t="s">
        <v>50</v>
      </c>
      <c r="E47" s="38" t="s">
        <v>91</v>
      </c>
      <c r="F47" s="38" t="s">
        <v>121</v>
      </c>
      <c r="G47" s="39" t="s">
        <v>147</v>
      </c>
      <c r="H47" s="38" t="s">
        <v>163</v>
      </c>
      <c r="I47" s="38" t="s">
        <v>212</v>
      </c>
      <c r="J47" s="57" t="s">
        <v>212</v>
      </c>
      <c r="K47" s="58">
        <v>4</v>
      </c>
      <c r="L47" s="38">
        <v>21</v>
      </c>
      <c r="M47" s="41"/>
    </row>
    <row r="48" spans="1:13" ht="48.75" thickBot="1" x14ac:dyDescent="0.3">
      <c r="A48" s="1"/>
      <c r="B48" s="52">
        <f t="shared" si="0"/>
        <v>39</v>
      </c>
      <c r="C48" s="56" t="s">
        <v>204</v>
      </c>
      <c r="D48" s="68" t="s">
        <v>51</v>
      </c>
      <c r="E48" s="39" t="s">
        <v>92</v>
      </c>
      <c r="F48" s="38" t="s">
        <v>230</v>
      </c>
      <c r="G48" s="39" t="s">
        <v>122</v>
      </c>
      <c r="H48" s="38" t="s">
        <v>164</v>
      </c>
      <c r="I48" s="38" t="s">
        <v>222</v>
      </c>
      <c r="J48" s="57" t="s">
        <v>223</v>
      </c>
      <c r="K48" s="38">
        <v>1</v>
      </c>
      <c r="L48" s="38">
        <v>6</v>
      </c>
      <c r="M48" s="40"/>
    </row>
    <row r="49" spans="1:13" ht="48.75" thickBot="1" x14ac:dyDescent="0.3">
      <c r="A49" s="1"/>
      <c r="B49" s="52">
        <f>ROW(B49) - ROW($B$9)</f>
        <v>40</v>
      </c>
      <c r="C49" s="56" t="s">
        <v>204</v>
      </c>
      <c r="D49" s="69" t="s">
        <v>52</v>
      </c>
      <c r="E49" s="38" t="s">
        <v>93</v>
      </c>
      <c r="F49" s="38" t="s">
        <v>230</v>
      </c>
      <c r="G49" s="39" t="s">
        <v>123</v>
      </c>
      <c r="H49" s="38" t="s">
        <v>165</v>
      </c>
      <c r="I49" s="38" t="s">
        <v>224</v>
      </c>
      <c r="J49" s="57" t="s">
        <v>225</v>
      </c>
      <c r="K49" s="61">
        <v>2</v>
      </c>
      <c r="L49" s="38">
        <v>15</v>
      </c>
      <c r="M49" s="41"/>
    </row>
    <row r="50" spans="1:13" x14ac:dyDescent="0.25">
      <c r="A50" s="1"/>
      <c r="B50" s="32"/>
      <c r="C50" s="50"/>
      <c r="D50" s="33"/>
      <c r="E50" s="34"/>
      <c r="F50" s="35"/>
      <c r="G50" s="36"/>
      <c r="H50" s="35"/>
      <c r="I50" s="35"/>
      <c r="J50" s="36"/>
      <c r="K50" s="36"/>
      <c r="L50" s="36"/>
      <c r="M50" s="43"/>
    </row>
    <row r="51" spans="1:13" ht="15.75" thickBot="1" x14ac:dyDescent="0.3">
      <c r="A51" s="1"/>
      <c r="B51" s="24"/>
      <c r="C51" s="51"/>
      <c r="D51" s="8"/>
      <c r="E51" s="9"/>
      <c r="F51" s="9"/>
      <c r="G51" s="9"/>
      <c r="H51" s="9"/>
      <c r="I51" s="9"/>
      <c r="J51" s="9"/>
      <c r="K51" s="9"/>
      <c r="L51" s="9"/>
      <c r="M51" s="44"/>
    </row>
  </sheetData>
  <mergeCells count="2">
    <mergeCell ref="J1:M1"/>
    <mergeCell ref="M3:M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topLeftCell="A25" workbookViewId="0">
      <selection activeCell="E77" sqref="E77"/>
    </sheetView>
  </sheetViews>
  <sheetFormatPr defaultRowHeight="15" x14ac:dyDescent="0.25"/>
  <cols>
    <col min="2" max="2" width="3" bestFit="1" customWidth="1"/>
    <col min="3" max="3" width="14.5703125" customWidth="1"/>
    <col min="4" max="4" width="31.140625" bestFit="1" customWidth="1"/>
    <col min="5" max="5" width="27" customWidth="1"/>
    <col min="6" max="6" width="11.7109375" customWidth="1"/>
    <col min="7" max="7" width="25.28515625" bestFit="1" customWidth="1"/>
    <col min="8" max="8" width="13.28515625" bestFit="1" customWidth="1"/>
    <col min="9" max="9" width="17" bestFit="1" customWidth="1"/>
    <col min="10" max="10" width="9" bestFit="1" customWidth="1"/>
    <col min="11" max="11" width="18" bestFit="1" customWidth="1"/>
    <col min="12" max="12" width="16.140625" bestFit="1" customWidth="1"/>
    <col min="13" max="13" width="28.85546875" customWidth="1"/>
  </cols>
  <sheetData>
    <row r="1" spans="1:13" ht="15.75" thickBot="1" x14ac:dyDescent="0.3">
      <c r="A1" s="1"/>
      <c r="B1" s="19"/>
      <c r="C1" s="19"/>
      <c r="D1" s="2"/>
      <c r="E1" s="2"/>
      <c r="F1" s="2"/>
      <c r="G1" s="2"/>
      <c r="H1" s="2"/>
      <c r="I1" s="2"/>
      <c r="J1" s="64"/>
      <c r="K1" s="64"/>
      <c r="L1" s="64"/>
      <c r="M1" s="64"/>
    </row>
    <row r="2" spans="1:13" ht="32.25" thickBot="1" x14ac:dyDescent="0.3">
      <c r="A2" s="1"/>
      <c r="B2" s="20"/>
      <c r="C2" s="45"/>
      <c r="D2" s="10" t="s">
        <v>0</v>
      </c>
      <c r="E2" s="10"/>
      <c r="F2" s="53" t="s">
        <v>234</v>
      </c>
      <c r="G2" s="11"/>
      <c r="H2" s="3"/>
      <c r="I2" s="3"/>
      <c r="J2" s="3"/>
      <c r="K2" s="3"/>
      <c r="L2" s="3"/>
      <c r="M2" s="42"/>
    </row>
    <row r="3" spans="1:13" x14ac:dyDescent="0.25">
      <c r="A3" s="1"/>
      <c r="B3" s="21"/>
      <c r="C3" s="46"/>
      <c r="D3" s="12" t="s">
        <v>1</v>
      </c>
      <c r="E3" s="12"/>
      <c r="F3" s="54" t="s">
        <v>235</v>
      </c>
      <c r="G3" s="12"/>
      <c r="H3" s="4"/>
      <c r="I3" s="4"/>
      <c r="J3" s="4"/>
      <c r="K3" s="4"/>
      <c r="L3" s="4"/>
      <c r="M3" s="65"/>
    </row>
    <row r="4" spans="1:13" x14ac:dyDescent="0.25">
      <c r="A4" s="1"/>
      <c r="B4" s="21"/>
      <c r="C4" s="46"/>
      <c r="D4" s="12" t="s">
        <v>2</v>
      </c>
      <c r="E4" s="12"/>
      <c r="F4" s="54" t="s">
        <v>235</v>
      </c>
      <c r="G4" s="13"/>
      <c r="H4" s="6"/>
      <c r="I4" s="6"/>
      <c r="J4" s="6"/>
      <c r="K4" s="6"/>
      <c r="L4" s="6"/>
      <c r="M4" s="66"/>
    </row>
    <row r="5" spans="1:13" x14ac:dyDescent="0.25">
      <c r="A5" s="1"/>
      <c r="B5" s="21"/>
      <c r="C5" s="46"/>
      <c r="D5" s="12" t="s">
        <v>3</v>
      </c>
      <c r="E5" s="12"/>
      <c r="F5" s="55" t="s">
        <v>5</v>
      </c>
      <c r="G5" s="14"/>
      <c r="H5" s="5"/>
      <c r="I5" s="5"/>
      <c r="J5" s="5"/>
      <c r="K5" s="5"/>
      <c r="L5" s="5"/>
      <c r="M5" s="66"/>
    </row>
    <row r="6" spans="1:13" x14ac:dyDescent="0.25">
      <c r="A6" s="1"/>
      <c r="B6" s="22"/>
      <c r="C6" s="47"/>
      <c r="D6" s="15"/>
      <c r="E6" s="15"/>
      <c r="F6" s="16"/>
      <c r="G6" s="14"/>
      <c r="H6" s="5"/>
      <c r="I6" s="5"/>
      <c r="J6" s="5"/>
      <c r="K6" s="5"/>
      <c r="L6" s="5"/>
      <c r="M6" s="66"/>
    </row>
    <row r="7" spans="1:13" x14ac:dyDescent="0.25">
      <c r="A7" s="1"/>
      <c r="B7" s="23"/>
      <c r="C7" s="48"/>
      <c r="D7" s="17"/>
      <c r="E7" s="17"/>
      <c r="F7" s="18"/>
      <c r="G7" s="17"/>
      <c r="H7" s="7"/>
      <c r="I7" s="7"/>
      <c r="J7" s="7"/>
      <c r="K7" s="7"/>
      <c r="L7" s="7"/>
      <c r="M7" s="66"/>
    </row>
    <row r="8" spans="1:13" ht="15.75" thickBot="1" x14ac:dyDescent="0.3">
      <c r="A8" s="1"/>
      <c r="B8" s="26"/>
      <c r="C8" s="49"/>
      <c r="D8" s="27"/>
      <c r="E8" s="27"/>
      <c r="F8" s="28"/>
      <c r="G8" s="17"/>
      <c r="H8" s="7"/>
      <c r="I8" s="7"/>
      <c r="J8" s="7"/>
      <c r="K8" s="7"/>
      <c r="L8" s="7"/>
      <c r="M8" s="66"/>
    </row>
    <row r="9" spans="1:13" ht="15.75" thickBot="1" x14ac:dyDescent="0.3">
      <c r="A9" s="1"/>
      <c r="B9" s="67" t="s">
        <v>4</v>
      </c>
      <c r="C9" s="29" t="s">
        <v>6</v>
      </c>
      <c r="D9" s="30" t="s">
        <v>14</v>
      </c>
      <c r="E9" s="29" t="s">
        <v>53</v>
      </c>
      <c r="F9" s="30" t="s">
        <v>94</v>
      </c>
      <c r="G9" s="29" t="s">
        <v>124</v>
      </c>
      <c r="H9" s="30" t="s">
        <v>148</v>
      </c>
      <c r="I9" s="29" t="s">
        <v>166</v>
      </c>
      <c r="J9" s="29" t="s">
        <v>205</v>
      </c>
      <c r="K9" s="29" t="s">
        <v>226</v>
      </c>
      <c r="L9" s="29" t="s">
        <v>244</v>
      </c>
      <c r="M9" s="31" t="s">
        <v>233</v>
      </c>
    </row>
    <row r="10" spans="1:13" s="73" customFormat="1" ht="24.75" thickBot="1" x14ac:dyDescent="0.3">
      <c r="A10" s="72"/>
      <c r="B10" s="52">
        <f>ROW(B10) - ROW($B$9)</f>
        <v>1</v>
      </c>
      <c r="C10" s="56" t="s">
        <v>7</v>
      </c>
      <c r="D10" s="68" t="s">
        <v>236</v>
      </c>
      <c r="E10" s="39" t="s">
        <v>54</v>
      </c>
      <c r="F10" s="38" t="s">
        <v>95</v>
      </c>
      <c r="G10" s="39" t="s">
        <v>125</v>
      </c>
      <c r="H10" s="38" t="s">
        <v>149</v>
      </c>
      <c r="I10" s="38" t="s">
        <v>167</v>
      </c>
      <c r="J10" s="57" t="s">
        <v>181</v>
      </c>
      <c r="K10" s="38">
        <v>9</v>
      </c>
      <c r="L10" s="38">
        <v>100</v>
      </c>
      <c r="M10" s="40"/>
    </row>
    <row r="11" spans="1:13" s="73" customFormat="1" ht="84.75" thickBot="1" x14ac:dyDescent="0.3">
      <c r="A11" s="72"/>
      <c r="B11" s="52">
        <f>ROW(B11) - ROW($B$9)</f>
        <v>2</v>
      </c>
      <c r="C11" s="56" t="s">
        <v>7</v>
      </c>
      <c r="D11" s="68" t="s">
        <v>15</v>
      </c>
      <c r="E11" s="39" t="s">
        <v>55</v>
      </c>
      <c r="F11" s="38" t="s">
        <v>96</v>
      </c>
      <c r="G11" s="39" t="s">
        <v>126</v>
      </c>
      <c r="H11" s="38" t="s">
        <v>149</v>
      </c>
      <c r="I11" s="38" t="s">
        <v>168</v>
      </c>
      <c r="J11" s="57" t="s">
        <v>182</v>
      </c>
      <c r="K11" s="38">
        <v>51</v>
      </c>
      <c r="L11" s="38">
        <v>550</v>
      </c>
      <c r="M11" s="41"/>
    </row>
    <row r="12" spans="1:13" s="73" customFormat="1" ht="24.75" thickBot="1" x14ac:dyDescent="0.3">
      <c r="A12" s="72"/>
      <c r="B12" s="52">
        <f t="shared" ref="B12:B48" si="0">ROW(B12) - ROW($B$9)</f>
        <v>3</v>
      </c>
      <c r="C12" s="56" t="s">
        <v>7</v>
      </c>
      <c r="D12" s="69" t="s">
        <v>16</v>
      </c>
      <c r="E12" s="38" t="s">
        <v>56</v>
      </c>
      <c r="F12" s="38" t="s">
        <v>97</v>
      </c>
      <c r="G12" s="39" t="s">
        <v>127</v>
      </c>
      <c r="H12" s="38" t="s">
        <v>149</v>
      </c>
      <c r="I12" s="38" t="s">
        <v>206</v>
      </c>
      <c r="J12" s="57" t="s">
        <v>183</v>
      </c>
      <c r="K12" s="58">
        <v>12</v>
      </c>
      <c r="L12" s="38">
        <v>200</v>
      </c>
      <c r="M12" s="40"/>
    </row>
    <row r="13" spans="1:13" s="83" customFormat="1" ht="15.75" thickBot="1" x14ac:dyDescent="0.3">
      <c r="A13" s="74"/>
      <c r="B13" s="75">
        <f>ROW(B13) - ROW($B$9)</f>
        <v>4</v>
      </c>
      <c r="C13" s="76" t="s">
        <v>7</v>
      </c>
      <c r="D13" s="84" t="s">
        <v>17</v>
      </c>
      <c r="E13" s="79" t="s">
        <v>57</v>
      </c>
      <c r="F13" s="78" t="s">
        <v>98</v>
      </c>
      <c r="G13" s="79" t="s">
        <v>128</v>
      </c>
      <c r="H13" s="78" t="s">
        <v>150</v>
      </c>
      <c r="I13" s="78" t="s">
        <v>169</v>
      </c>
      <c r="J13" s="80" t="s">
        <v>184</v>
      </c>
      <c r="K13" s="78">
        <v>2</v>
      </c>
      <c r="L13" s="78">
        <v>21</v>
      </c>
      <c r="M13" s="85"/>
    </row>
    <row r="14" spans="1:13" s="73" customFormat="1" ht="24.75" thickBot="1" x14ac:dyDescent="0.3">
      <c r="A14" s="72"/>
      <c r="B14" s="52">
        <f>ROW(B14) - ROW($B$9)</f>
        <v>5</v>
      </c>
      <c r="C14" s="56" t="s">
        <v>7</v>
      </c>
      <c r="D14" s="69" t="s">
        <v>18</v>
      </c>
      <c r="E14" s="38" t="s">
        <v>58</v>
      </c>
      <c r="F14" s="38" t="s">
        <v>95</v>
      </c>
      <c r="G14" s="38" t="s">
        <v>227</v>
      </c>
      <c r="H14" s="38" t="s">
        <v>149</v>
      </c>
      <c r="I14" s="38" t="s">
        <v>207</v>
      </c>
      <c r="J14" s="57" t="s">
        <v>185</v>
      </c>
      <c r="K14" s="58">
        <v>16</v>
      </c>
      <c r="L14" s="38">
        <v>200</v>
      </c>
      <c r="M14" s="40"/>
    </row>
    <row r="15" spans="1:13" s="73" customFormat="1" ht="15.75" thickBot="1" x14ac:dyDescent="0.3">
      <c r="A15" s="72"/>
      <c r="B15" s="52">
        <f t="shared" si="0"/>
        <v>6</v>
      </c>
      <c r="C15" s="56" t="s">
        <v>7</v>
      </c>
      <c r="D15" s="68" t="s">
        <v>19</v>
      </c>
      <c r="E15" s="39" t="s">
        <v>59</v>
      </c>
      <c r="F15" s="38" t="s">
        <v>99</v>
      </c>
      <c r="G15" s="39" t="s">
        <v>129</v>
      </c>
      <c r="H15" s="38" t="s">
        <v>151</v>
      </c>
      <c r="I15" s="38" t="s">
        <v>208</v>
      </c>
      <c r="J15" s="57" t="s">
        <v>186</v>
      </c>
      <c r="K15" s="38">
        <v>1</v>
      </c>
      <c r="L15" s="38">
        <v>20</v>
      </c>
      <c r="M15" s="41"/>
    </row>
    <row r="16" spans="1:13" s="83" customFormat="1" ht="15.75" thickBot="1" x14ac:dyDescent="0.3">
      <c r="A16" s="74"/>
      <c r="B16" s="75">
        <f>ROW(B16) - ROW($B$9)</f>
        <v>7</v>
      </c>
      <c r="C16" s="76" t="s">
        <v>7</v>
      </c>
      <c r="D16" s="77" t="s">
        <v>20</v>
      </c>
      <c r="E16" s="78" t="s">
        <v>60</v>
      </c>
      <c r="F16" s="78" t="s">
        <v>99</v>
      </c>
      <c r="G16" s="79" t="s">
        <v>130</v>
      </c>
      <c r="H16" s="78" t="s">
        <v>149</v>
      </c>
      <c r="I16" s="78" t="s">
        <v>209</v>
      </c>
      <c r="J16" s="80" t="s">
        <v>187</v>
      </c>
      <c r="K16" s="81">
        <v>6</v>
      </c>
      <c r="L16" s="78">
        <v>100</v>
      </c>
      <c r="M16" s="82"/>
    </row>
    <row r="17" spans="1:13" s="73" customFormat="1" ht="96.75" thickBot="1" x14ac:dyDescent="0.3">
      <c r="A17" s="72"/>
      <c r="B17" s="52">
        <f>ROW(B17) - ROW($B$9)</f>
        <v>8</v>
      </c>
      <c r="C17" s="56" t="s">
        <v>7</v>
      </c>
      <c r="D17" s="68" t="s">
        <v>21</v>
      </c>
      <c r="E17" s="39" t="s">
        <v>61</v>
      </c>
      <c r="F17" s="38" t="s">
        <v>96</v>
      </c>
      <c r="G17" s="39" t="s">
        <v>131</v>
      </c>
      <c r="H17" s="38" t="s">
        <v>149</v>
      </c>
      <c r="I17" s="38" t="s">
        <v>170</v>
      </c>
      <c r="J17" s="57" t="s">
        <v>185</v>
      </c>
      <c r="K17" s="38">
        <v>48</v>
      </c>
      <c r="L17" s="38">
        <v>500</v>
      </c>
      <c r="M17" s="41"/>
    </row>
    <row r="18" spans="1:13" s="73" customFormat="1" ht="24.75" thickBot="1" x14ac:dyDescent="0.3">
      <c r="A18" s="72"/>
      <c r="B18" s="52">
        <f>ROW(B18) - ROW($B$9)</f>
        <v>9</v>
      </c>
      <c r="C18" s="56" t="s">
        <v>7</v>
      </c>
      <c r="D18" s="69" t="s">
        <v>22</v>
      </c>
      <c r="E18" s="39" t="s">
        <v>62</v>
      </c>
      <c r="F18" s="38" t="s">
        <v>95</v>
      </c>
      <c r="G18" s="38" t="s">
        <v>237</v>
      </c>
      <c r="H18" s="38" t="s">
        <v>152</v>
      </c>
      <c r="I18" s="38" t="s">
        <v>241</v>
      </c>
      <c r="J18" s="57" t="s">
        <v>188</v>
      </c>
      <c r="K18" s="38">
        <v>11</v>
      </c>
      <c r="L18" s="38">
        <v>120</v>
      </c>
      <c r="M18" s="40"/>
    </row>
    <row r="19" spans="1:13" s="73" customFormat="1" ht="24.75" thickBot="1" x14ac:dyDescent="0.3">
      <c r="A19" s="72"/>
      <c r="B19" s="52">
        <f>ROW(B19) - ROW($B$9)</f>
        <v>10</v>
      </c>
      <c r="C19" s="56" t="s">
        <v>7</v>
      </c>
      <c r="D19" s="69" t="s">
        <v>23</v>
      </c>
      <c r="E19" s="38" t="s">
        <v>63</v>
      </c>
      <c r="F19" s="38" t="s">
        <v>95</v>
      </c>
      <c r="G19" s="39" t="s">
        <v>132</v>
      </c>
      <c r="H19" s="38" t="s">
        <v>149</v>
      </c>
      <c r="I19" s="38" t="s">
        <v>171</v>
      </c>
      <c r="J19" s="57" t="s">
        <v>189</v>
      </c>
      <c r="K19" s="58">
        <v>4</v>
      </c>
      <c r="L19" s="38">
        <v>100</v>
      </c>
      <c r="M19" s="41"/>
    </row>
    <row r="20" spans="1:13" s="73" customFormat="1" ht="15.75" thickBot="1" x14ac:dyDescent="0.3">
      <c r="A20" s="72"/>
      <c r="B20" s="52">
        <f t="shared" si="0"/>
        <v>11</v>
      </c>
      <c r="C20" s="56" t="s">
        <v>7</v>
      </c>
      <c r="D20" s="68" t="s">
        <v>24</v>
      </c>
      <c r="E20" s="39" t="s">
        <v>64</v>
      </c>
      <c r="F20" s="38" t="s">
        <v>99</v>
      </c>
      <c r="G20" s="39" t="s">
        <v>133</v>
      </c>
      <c r="H20" s="38" t="s">
        <v>149</v>
      </c>
      <c r="I20" s="38" t="s">
        <v>210</v>
      </c>
      <c r="J20" s="57" t="s">
        <v>190</v>
      </c>
      <c r="K20" s="38">
        <v>1</v>
      </c>
      <c r="L20" s="38">
        <v>100</v>
      </c>
      <c r="M20" s="40"/>
    </row>
    <row r="21" spans="1:13" s="73" customFormat="1" ht="24.75" thickBot="1" x14ac:dyDescent="0.3">
      <c r="A21" s="72"/>
      <c r="B21" s="52">
        <f>ROW(B21) - ROW($B$9)</f>
        <v>12</v>
      </c>
      <c r="C21" s="56" t="s">
        <v>7</v>
      </c>
      <c r="D21" s="69" t="s">
        <v>25</v>
      </c>
      <c r="E21" s="38" t="s">
        <v>65</v>
      </c>
      <c r="F21" s="38" t="s">
        <v>95</v>
      </c>
      <c r="G21" s="39" t="s">
        <v>134</v>
      </c>
      <c r="H21" s="38" t="s">
        <v>149</v>
      </c>
      <c r="I21" s="38" t="s">
        <v>172</v>
      </c>
      <c r="J21" s="57" t="s">
        <v>191</v>
      </c>
      <c r="K21" s="58">
        <v>8</v>
      </c>
      <c r="L21" s="38">
        <v>100</v>
      </c>
      <c r="M21" s="41"/>
    </row>
    <row r="22" spans="1:13" s="73" customFormat="1" ht="36.75" thickBot="1" x14ac:dyDescent="0.3">
      <c r="A22" s="72"/>
      <c r="B22" s="52">
        <f t="shared" si="0"/>
        <v>13</v>
      </c>
      <c r="C22" s="56" t="s">
        <v>199</v>
      </c>
      <c r="D22" s="69" t="s">
        <v>26</v>
      </c>
      <c r="E22" s="38" t="s">
        <v>66</v>
      </c>
      <c r="F22" s="38" t="s">
        <v>238</v>
      </c>
      <c r="G22" s="39" t="s">
        <v>100</v>
      </c>
      <c r="H22" s="38" t="s">
        <v>153</v>
      </c>
      <c r="I22" s="38" t="s">
        <v>211</v>
      </c>
      <c r="J22" s="57" t="s">
        <v>212</v>
      </c>
      <c r="K22" s="58">
        <v>1</v>
      </c>
      <c r="L22" s="38">
        <v>20</v>
      </c>
      <c r="M22" s="40"/>
    </row>
    <row r="23" spans="1:13" s="73" customFormat="1" ht="36.75" thickBot="1" x14ac:dyDescent="0.3">
      <c r="A23" s="72"/>
      <c r="B23" s="52">
        <f>ROW(B23) - ROW($B$9)</f>
        <v>14</v>
      </c>
      <c r="C23" s="56" t="s">
        <v>199</v>
      </c>
      <c r="D23" s="68" t="s">
        <v>27</v>
      </c>
      <c r="E23" s="39" t="s">
        <v>67</v>
      </c>
      <c r="F23" s="38" t="s">
        <v>101</v>
      </c>
      <c r="G23" s="39" t="s">
        <v>135</v>
      </c>
      <c r="H23" s="38" t="s">
        <v>154</v>
      </c>
      <c r="I23" s="38" t="s">
        <v>213</v>
      </c>
      <c r="J23" s="57" t="s">
        <v>212</v>
      </c>
      <c r="K23" s="38">
        <v>1</v>
      </c>
      <c r="L23" s="38">
        <v>20</v>
      </c>
      <c r="M23" s="41"/>
    </row>
    <row r="24" spans="1:13" s="73" customFormat="1" ht="30.75" thickBot="1" x14ac:dyDescent="0.3">
      <c r="A24" s="72"/>
      <c r="B24" s="52">
        <v>15</v>
      </c>
      <c r="C24" s="56" t="s">
        <v>8</v>
      </c>
      <c r="D24" s="37" t="s">
        <v>28</v>
      </c>
      <c r="E24" s="37" t="s">
        <v>68</v>
      </c>
      <c r="F24" s="37" t="s">
        <v>102</v>
      </c>
      <c r="G24" s="37" t="s">
        <v>136</v>
      </c>
      <c r="H24" s="37" t="s">
        <v>155</v>
      </c>
      <c r="I24" s="37" t="s">
        <v>173</v>
      </c>
      <c r="J24" s="37" t="s">
        <v>212</v>
      </c>
      <c r="K24" s="37">
        <v>2</v>
      </c>
      <c r="L24" s="38">
        <v>40</v>
      </c>
      <c r="M24" s="40"/>
    </row>
    <row r="25" spans="1:13" s="73" customFormat="1" ht="24.75" thickBot="1" x14ac:dyDescent="0.3">
      <c r="A25" s="72"/>
      <c r="B25" s="52">
        <f t="shared" si="0"/>
        <v>16</v>
      </c>
      <c r="C25" s="56" t="s">
        <v>200</v>
      </c>
      <c r="D25" s="69" t="s">
        <v>29</v>
      </c>
      <c r="E25" s="38" t="s">
        <v>69</v>
      </c>
      <c r="F25" s="38" t="s">
        <v>103</v>
      </c>
      <c r="G25" s="38" t="s">
        <v>228</v>
      </c>
      <c r="H25" s="38" t="s">
        <v>156</v>
      </c>
      <c r="I25" s="38" t="s">
        <v>214</v>
      </c>
      <c r="J25" s="57" t="s">
        <v>212</v>
      </c>
      <c r="K25" s="58">
        <v>1</v>
      </c>
      <c r="L25" s="38">
        <v>20</v>
      </c>
      <c r="M25" s="41"/>
    </row>
    <row r="26" spans="1:13" s="73" customFormat="1" ht="45.75" thickBot="1" x14ac:dyDescent="0.3">
      <c r="A26" s="72"/>
      <c r="B26" s="52">
        <f>ROW(B26) - ROW($B$9)</f>
        <v>17</v>
      </c>
      <c r="C26" s="56" t="s">
        <v>9</v>
      </c>
      <c r="D26" s="68" t="s">
        <v>30</v>
      </c>
      <c r="E26" s="39" t="s">
        <v>70</v>
      </c>
      <c r="F26" s="38" t="s">
        <v>230</v>
      </c>
      <c r="G26" s="39" t="s">
        <v>104</v>
      </c>
      <c r="H26" s="38" t="s">
        <v>157</v>
      </c>
      <c r="I26" s="38" t="s">
        <v>174</v>
      </c>
      <c r="J26" s="57" t="s">
        <v>212</v>
      </c>
      <c r="K26" s="38">
        <v>1</v>
      </c>
      <c r="L26" s="38">
        <v>20</v>
      </c>
      <c r="M26" s="40"/>
    </row>
    <row r="27" spans="1:13" s="73" customFormat="1" ht="30.75" thickBot="1" x14ac:dyDescent="0.3">
      <c r="A27" s="72"/>
      <c r="B27" s="52">
        <f t="shared" si="0"/>
        <v>18</v>
      </c>
      <c r="C27" s="56" t="s">
        <v>10</v>
      </c>
      <c r="D27" s="69" t="s">
        <v>31</v>
      </c>
      <c r="E27" s="38" t="s">
        <v>71</v>
      </c>
      <c r="F27" s="38" t="s">
        <v>230</v>
      </c>
      <c r="G27" s="39" t="s">
        <v>105</v>
      </c>
      <c r="H27" s="38" t="s">
        <v>158</v>
      </c>
      <c r="I27" s="38" t="s">
        <v>212</v>
      </c>
      <c r="J27" s="57" t="s">
        <v>212</v>
      </c>
      <c r="K27" s="58">
        <v>8</v>
      </c>
      <c r="L27" s="38">
        <v>85</v>
      </c>
      <c r="M27" s="41"/>
    </row>
    <row r="28" spans="1:13" s="73" customFormat="1" ht="30.75" thickBot="1" x14ac:dyDescent="0.3">
      <c r="A28" s="72"/>
      <c r="B28" s="52">
        <f>ROW(B28) - ROW($B$9)</f>
        <v>19</v>
      </c>
      <c r="C28" s="56" t="s">
        <v>10</v>
      </c>
      <c r="D28" s="68" t="s">
        <v>32</v>
      </c>
      <c r="E28" s="39" t="s">
        <v>72</v>
      </c>
      <c r="F28" s="38" t="s">
        <v>230</v>
      </c>
      <c r="G28" s="39" t="s">
        <v>106</v>
      </c>
      <c r="H28" s="38" t="s">
        <v>158</v>
      </c>
      <c r="I28" s="38" t="s">
        <v>212</v>
      </c>
      <c r="J28" s="57" t="s">
        <v>212</v>
      </c>
      <c r="K28" s="38">
        <v>4</v>
      </c>
      <c r="L28" s="38">
        <v>45</v>
      </c>
      <c r="M28" s="40"/>
    </row>
    <row r="29" spans="1:13" s="73" customFormat="1" ht="24.75" thickBot="1" x14ac:dyDescent="0.3">
      <c r="A29" s="72"/>
      <c r="B29" s="52">
        <f t="shared" si="0"/>
        <v>20</v>
      </c>
      <c r="C29" s="56" t="s">
        <v>200</v>
      </c>
      <c r="D29" s="69" t="s">
        <v>33</v>
      </c>
      <c r="E29" s="38" t="s">
        <v>73</v>
      </c>
      <c r="F29" s="38" t="s">
        <v>107</v>
      </c>
      <c r="G29" s="38" t="s">
        <v>229</v>
      </c>
      <c r="H29" s="38" t="s">
        <v>159</v>
      </c>
      <c r="I29" s="38" t="s">
        <v>215</v>
      </c>
      <c r="J29" s="57" t="s">
        <v>212</v>
      </c>
      <c r="K29" s="58">
        <v>1</v>
      </c>
      <c r="L29" s="38">
        <v>20</v>
      </c>
      <c r="M29" s="41"/>
    </row>
    <row r="30" spans="1:13" s="73" customFormat="1" ht="15.75" thickBot="1" x14ac:dyDescent="0.3">
      <c r="A30" s="72"/>
      <c r="B30" s="52">
        <f>ROW(B30) - ROW($B$9)</f>
        <v>21</v>
      </c>
      <c r="C30" s="56" t="s">
        <v>201</v>
      </c>
      <c r="D30" s="62" t="s">
        <v>34</v>
      </c>
      <c r="E30" s="70" t="s">
        <v>74</v>
      </c>
      <c r="F30" s="59" t="s">
        <v>230</v>
      </c>
      <c r="G30" s="70" t="s">
        <v>108</v>
      </c>
      <c r="H30" s="59" t="s">
        <v>212</v>
      </c>
      <c r="I30" s="59" t="s">
        <v>212</v>
      </c>
      <c r="J30" s="60" t="s">
        <v>212</v>
      </c>
      <c r="K30" s="59">
        <v>5</v>
      </c>
      <c r="L30" s="59" t="s">
        <v>212</v>
      </c>
      <c r="M30" s="63"/>
    </row>
    <row r="31" spans="1:13" s="73" customFormat="1" ht="24.75" thickBot="1" x14ac:dyDescent="0.3">
      <c r="A31" s="72"/>
      <c r="B31" s="52">
        <f t="shared" si="0"/>
        <v>22</v>
      </c>
      <c r="C31" s="56" t="s">
        <v>11</v>
      </c>
      <c r="D31" s="69" t="s">
        <v>35</v>
      </c>
      <c r="E31" s="38" t="s">
        <v>75</v>
      </c>
      <c r="F31" s="38" t="s">
        <v>109</v>
      </c>
      <c r="G31" s="38" t="s">
        <v>232</v>
      </c>
      <c r="H31" s="38" t="s">
        <v>156</v>
      </c>
      <c r="I31" s="38" t="s">
        <v>216</v>
      </c>
      <c r="J31" s="57" t="s">
        <v>192</v>
      </c>
      <c r="K31" s="58">
        <v>3</v>
      </c>
      <c r="L31" s="38">
        <v>100</v>
      </c>
      <c r="M31" s="41"/>
    </row>
    <row r="32" spans="1:13" s="73" customFormat="1" ht="24.75" thickBot="1" x14ac:dyDescent="0.3">
      <c r="A32" s="72"/>
      <c r="B32" s="52">
        <f>ROW(B32) - ROW($B$9)</f>
        <v>23</v>
      </c>
      <c r="C32" s="56" t="s">
        <v>11</v>
      </c>
      <c r="D32" s="68" t="s">
        <v>36</v>
      </c>
      <c r="E32" s="39" t="s">
        <v>76</v>
      </c>
      <c r="F32" s="38" t="s">
        <v>110</v>
      </c>
      <c r="G32" s="39" t="s">
        <v>137</v>
      </c>
      <c r="H32" s="38" t="s">
        <v>149</v>
      </c>
      <c r="I32" s="38" t="s">
        <v>175</v>
      </c>
      <c r="J32" s="57" t="s">
        <v>193</v>
      </c>
      <c r="K32" s="38">
        <v>8</v>
      </c>
      <c r="L32" s="38">
        <v>100</v>
      </c>
      <c r="M32" s="40"/>
    </row>
    <row r="33" spans="1:13" s="73" customFormat="1" ht="15.75" thickBot="1" x14ac:dyDescent="0.3">
      <c r="A33" s="72"/>
      <c r="B33" s="52">
        <f t="shared" si="0"/>
        <v>24</v>
      </c>
      <c r="C33" s="56" t="s">
        <v>11</v>
      </c>
      <c r="D33" s="69" t="s">
        <v>37</v>
      </c>
      <c r="E33" s="38" t="s">
        <v>77</v>
      </c>
      <c r="F33" s="38" t="s">
        <v>109</v>
      </c>
      <c r="G33" s="39" t="s">
        <v>138</v>
      </c>
      <c r="H33" s="38" t="s">
        <v>149</v>
      </c>
      <c r="I33" s="38" t="s">
        <v>217</v>
      </c>
      <c r="J33" s="57" t="s">
        <v>194</v>
      </c>
      <c r="K33" s="58">
        <v>3</v>
      </c>
      <c r="L33" s="38">
        <v>100</v>
      </c>
      <c r="M33" s="41"/>
    </row>
    <row r="34" spans="1:13" s="73" customFormat="1" ht="24.75" thickBot="1" x14ac:dyDescent="0.3">
      <c r="A34" s="72"/>
      <c r="B34" s="52">
        <f>ROW(B34) - ROW($B$9)</f>
        <v>25</v>
      </c>
      <c r="C34" s="56" t="s">
        <v>11</v>
      </c>
      <c r="D34" s="68" t="s">
        <v>38</v>
      </c>
      <c r="E34" s="39" t="s">
        <v>78</v>
      </c>
      <c r="F34" s="38" t="s">
        <v>110</v>
      </c>
      <c r="G34" s="39" t="s">
        <v>139</v>
      </c>
      <c r="H34" s="38" t="s">
        <v>149</v>
      </c>
      <c r="I34" s="38" t="s">
        <v>176</v>
      </c>
      <c r="J34" s="57" t="s">
        <v>195</v>
      </c>
      <c r="K34" s="38">
        <v>10</v>
      </c>
      <c r="L34" s="38">
        <v>200</v>
      </c>
      <c r="M34" s="40"/>
    </row>
    <row r="35" spans="1:13" s="73" customFormat="1" ht="24.75" thickBot="1" x14ac:dyDescent="0.3">
      <c r="A35" s="72"/>
      <c r="B35" s="52">
        <f t="shared" si="0"/>
        <v>26</v>
      </c>
      <c r="C35" s="56" t="s">
        <v>11</v>
      </c>
      <c r="D35" s="69" t="s">
        <v>39</v>
      </c>
      <c r="E35" s="38" t="s">
        <v>79</v>
      </c>
      <c r="F35" s="38" t="s">
        <v>109</v>
      </c>
      <c r="G35" s="39" t="s">
        <v>140</v>
      </c>
      <c r="H35" s="38" t="s">
        <v>149</v>
      </c>
      <c r="I35" s="38" t="s">
        <v>218</v>
      </c>
      <c r="J35" s="57" t="s">
        <v>196</v>
      </c>
      <c r="K35" s="58">
        <v>2</v>
      </c>
      <c r="L35" s="38">
        <v>100</v>
      </c>
      <c r="M35" s="41"/>
    </row>
    <row r="36" spans="1:13" s="73" customFormat="1" ht="36.75" thickBot="1" x14ac:dyDescent="0.3">
      <c r="A36" s="72"/>
      <c r="B36" s="52">
        <f>ROW(B36) - ROW($B$9)</f>
        <v>27</v>
      </c>
      <c r="C36" s="56" t="s">
        <v>11</v>
      </c>
      <c r="D36" s="68" t="s">
        <v>239</v>
      </c>
      <c r="E36" s="39" t="s">
        <v>80</v>
      </c>
      <c r="F36" s="38" t="s">
        <v>111</v>
      </c>
      <c r="G36" s="39" t="s">
        <v>141</v>
      </c>
      <c r="H36" s="38" t="s">
        <v>149</v>
      </c>
      <c r="I36" s="38" t="s">
        <v>177</v>
      </c>
      <c r="J36" s="57" t="s">
        <v>197</v>
      </c>
      <c r="K36" s="38">
        <v>17</v>
      </c>
      <c r="L36" s="38">
        <v>200</v>
      </c>
      <c r="M36" s="40"/>
    </row>
    <row r="37" spans="1:13" s="73" customFormat="1" ht="24.75" thickBot="1" x14ac:dyDescent="0.3">
      <c r="A37" s="72"/>
      <c r="B37" s="52">
        <f>ROW(B37) - ROW($B$9)</f>
        <v>28</v>
      </c>
      <c r="C37" s="56" t="s">
        <v>11</v>
      </c>
      <c r="D37" s="69" t="s">
        <v>40</v>
      </c>
      <c r="E37" s="38" t="s">
        <v>81</v>
      </c>
      <c r="F37" s="38" t="s">
        <v>110</v>
      </c>
      <c r="G37" s="39" t="s">
        <v>142</v>
      </c>
      <c r="H37" s="38" t="s">
        <v>149</v>
      </c>
      <c r="I37" s="38" t="s">
        <v>178</v>
      </c>
      <c r="J37" s="57" t="s">
        <v>198</v>
      </c>
      <c r="K37" s="58">
        <v>4</v>
      </c>
      <c r="L37" s="38">
        <v>100</v>
      </c>
      <c r="M37" s="41"/>
    </row>
    <row r="38" spans="1:13" s="73" customFormat="1" ht="216.75" thickBot="1" x14ac:dyDescent="0.3">
      <c r="A38" s="72"/>
      <c r="B38" s="52">
        <f t="shared" si="0"/>
        <v>29</v>
      </c>
      <c r="C38" s="56" t="s">
        <v>202</v>
      </c>
      <c r="D38" s="62" t="s">
        <v>41</v>
      </c>
      <c r="E38" s="70" t="s">
        <v>82</v>
      </c>
      <c r="F38" s="59" t="s">
        <v>230</v>
      </c>
      <c r="G38" s="70" t="s">
        <v>112</v>
      </c>
      <c r="H38" s="59" t="s">
        <v>212</v>
      </c>
      <c r="I38" s="59" t="s">
        <v>212</v>
      </c>
      <c r="J38" s="60" t="s">
        <v>212</v>
      </c>
      <c r="K38" s="59">
        <v>106</v>
      </c>
      <c r="L38" s="59" t="s">
        <v>212</v>
      </c>
      <c r="M38" s="63"/>
    </row>
    <row r="39" spans="1:13" s="73" customFormat="1" ht="36.75" thickBot="1" x14ac:dyDescent="0.3">
      <c r="A39" s="72"/>
      <c r="B39" s="52">
        <f>ROW(B39) - ROW($B$9)</f>
        <v>30</v>
      </c>
      <c r="C39" s="56" t="s">
        <v>203</v>
      </c>
      <c r="D39" s="69" t="s">
        <v>42</v>
      </c>
      <c r="E39" s="38" t="s">
        <v>83</v>
      </c>
      <c r="F39" s="38" t="s">
        <v>230</v>
      </c>
      <c r="G39" s="39" t="s">
        <v>113</v>
      </c>
      <c r="H39" s="38" t="s">
        <v>157</v>
      </c>
      <c r="I39" s="38" t="s">
        <v>219</v>
      </c>
      <c r="J39" s="57" t="s">
        <v>212</v>
      </c>
      <c r="K39" s="58">
        <v>1</v>
      </c>
      <c r="L39" s="38">
        <v>20</v>
      </c>
      <c r="M39" s="41"/>
    </row>
    <row r="40" spans="1:13" s="73" customFormat="1" ht="24.75" thickBot="1" x14ac:dyDescent="0.3">
      <c r="A40" s="72"/>
      <c r="B40" s="52">
        <f t="shared" si="0"/>
        <v>31</v>
      </c>
      <c r="C40" s="56" t="s">
        <v>12</v>
      </c>
      <c r="D40" s="68" t="s">
        <v>43</v>
      </c>
      <c r="E40" s="39" t="s">
        <v>84</v>
      </c>
      <c r="F40" s="38" t="s">
        <v>230</v>
      </c>
      <c r="G40" s="39" t="s">
        <v>114</v>
      </c>
      <c r="H40" s="38" t="s">
        <v>160</v>
      </c>
      <c r="I40" s="38" t="s">
        <v>179</v>
      </c>
      <c r="J40" s="57" t="s">
        <v>212</v>
      </c>
      <c r="K40" s="38">
        <v>1</v>
      </c>
      <c r="L40" s="38">
        <v>11</v>
      </c>
      <c r="M40" s="40"/>
    </row>
    <row r="41" spans="1:13" s="73" customFormat="1" ht="24.75" thickBot="1" x14ac:dyDescent="0.3">
      <c r="A41" s="72"/>
      <c r="B41" s="52">
        <f>ROW(B41) - ROW($B$9)</f>
        <v>32</v>
      </c>
      <c r="C41" s="56" t="s">
        <v>13</v>
      </c>
      <c r="D41" s="69" t="s">
        <v>44</v>
      </c>
      <c r="E41" s="38" t="s">
        <v>85</v>
      </c>
      <c r="F41" s="38" t="s">
        <v>115</v>
      </c>
      <c r="G41" s="39" t="s">
        <v>143</v>
      </c>
      <c r="H41" s="38" t="s">
        <v>154</v>
      </c>
      <c r="I41" s="38" t="s">
        <v>180</v>
      </c>
      <c r="J41" s="57" t="s">
        <v>212</v>
      </c>
      <c r="K41" s="58">
        <v>8</v>
      </c>
      <c r="L41" s="38">
        <v>81</v>
      </c>
      <c r="M41" s="41"/>
    </row>
    <row r="42" spans="1:13" s="73" customFormat="1" ht="36.75" thickBot="1" x14ac:dyDescent="0.3">
      <c r="A42" s="72"/>
      <c r="B42" s="52">
        <f t="shared" si="0"/>
        <v>33</v>
      </c>
      <c r="C42" s="56" t="s">
        <v>13</v>
      </c>
      <c r="D42" s="68" t="s">
        <v>45</v>
      </c>
      <c r="E42" s="39" t="s">
        <v>86</v>
      </c>
      <c r="F42" s="38" t="s">
        <v>116</v>
      </c>
      <c r="G42" s="39" t="s">
        <v>144</v>
      </c>
      <c r="H42" s="38" t="s">
        <v>161</v>
      </c>
      <c r="I42" s="38" t="s">
        <v>220</v>
      </c>
      <c r="J42" s="57" t="s">
        <v>212</v>
      </c>
      <c r="K42" s="38">
        <v>1</v>
      </c>
      <c r="L42" s="38">
        <v>11</v>
      </c>
      <c r="M42" s="40"/>
    </row>
    <row r="43" spans="1:13" s="73" customFormat="1" ht="24.75" thickBot="1" x14ac:dyDescent="0.3">
      <c r="A43" s="72"/>
      <c r="B43" s="52">
        <f>ROW(B43) - ROW($B$9)</f>
        <v>34</v>
      </c>
      <c r="C43" s="56" t="s">
        <v>13</v>
      </c>
      <c r="D43" s="69" t="s">
        <v>46</v>
      </c>
      <c r="E43" s="38" t="s">
        <v>87</v>
      </c>
      <c r="F43" s="38" t="s">
        <v>117</v>
      </c>
      <c r="G43" s="39" t="s">
        <v>145</v>
      </c>
      <c r="H43" s="38" t="s">
        <v>154</v>
      </c>
      <c r="I43" s="38" t="s">
        <v>212</v>
      </c>
      <c r="J43" s="57" t="s">
        <v>212</v>
      </c>
      <c r="K43" s="58">
        <v>1</v>
      </c>
      <c r="L43" s="38">
        <v>11</v>
      </c>
      <c r="M43" s="41"/>
    </row>
    <row r="44" spans="1:13" s="73" customFormat="1" ht="24.75" thickBot="1" x14ac:dyDescent="0.3">
      <c r="A44" s="72"/>
      <c r="B44" s="52">
        <f t="shared" si="0"/>
        <v>35</v>
      </c>
      <c r="C44" s="56" t="s">
        <v>13</v>
      </c>
      <c r="D44" s="68" t="s">
        <v>47</v>
      </c>
      <c r="E44" s="39" t="s">
        <v>88</v>
      </c>
      <c r="F44" s="38" t="s">
        <v>240</v>
      </c>
      <c r="G44" s="39" t="s">
        <v>118</v>
      </c>
      <c r="H44" s="38" t="s">
        <v>154</v>
      </c>
      <c r="I44" s="38" t="s">
        <v>221</v>
      </c>
      <c r="J44" s="57" t="s">
        <v>212</v>
      </c>
      <c r="K44" s="38">
        <v>2</v>
      </c>
      <c r="L44" s="38">
        <v>21</v>
      </c>
      <c r="M44" s="40"/>
    </row>
    <row r="45" spans="1:13" s="73" customFormat="1" ht="48.75" thickBot="1" x14ac:dyDescent="0.3">
      <c r="A45" s="72"/>
      <c r="B45" s="52">
        <f>ROW(B45) - ROW($B$9)</f>
        <v>36</v>
      </c>
      <c r="C45" s="56" t="s">
        <v>13</v>
      </c>
      <c r="D45" s="69" t="s">
        <v>48</v>
      </c>
      <c r="E45" s="38" t="s">
        <v>89</v>
      </c>
      <c r="F45" s="38" t="s">
        <v>231</v>
      </c>
      <c r="G45" s="71" t="s">
        <v>119</v>
      </c>
      <c r="H45" s="38" t="s">
        <v>162</v>
      </c>
      <c r="I45" s="38" t="s">
        <v>242</v>
      </c>
      <c r="J45" s="57" t="s">
        <v>212</v>
      </c>
      <c r="K45" s="58">
        <v>1</v>
      </c>
      <c r="L45" s="38">
        <v>20</v>
      </c>
      <c r="M45" s="41"/>
    </row>
    <row r="46" spans="1:13" s="73" customFormat="1" ht="24.75" thickBot="1" x14ac:dyDescent="0.3">
      <c r="A46" s="72"/>
      <c r="B46" s="52">
        <f t="shared" si="0"/>
        <v>37</v>
      </c>
      <c r="C46" s="56" t="s">
        <v>13</v>
      </c>
      <c r="D46" s="68" t="s">
        <v>49</v>
      </c>
      <c r="E46" s="39" t="s">
        <v>90</v>
      </c>
      <c r="F46" s="38" t="s">
        <v>120</v>
      </c>
      <c r="G46" s="39" t="s">
        <v>146</v>
      </c>
      <c r="H46" s="38" t="s">
        <v>154</v>
      </c>
      <c r="I46" s="38" t="s">
        <v>212</v>
      </c>
      <c r="J46" s="57" t="s">
        <v>212</v>
      </c>
      <c r="K46" s="38">
        <v>1</v>
      </c>
      <c r="L46" s="38">
        <v>11</v>
      </c>
      <c r="M46" s="40"/>
    </row>
    <row r="47" spans="1:13" s="73" customFormat="1" ht="24.75" thickBot="1" x14ac:dyDescent="0.3">
      <c r="A47" s="72"/>
      <c r="B47" s="52">
        <f>ROW(B47) - ROW($B$9)</f>
        <v>38</v>
      </c>
      <c r="C47" s="56" t="s">
        <v>13</v>
      </c>
      <c r="D47" s="69" t="s">
        <v>50</v>
      </c>
      <c r="E47" s="38" t="s">
        <v>91</v>
      </c>
      <c r="F47" s="38" t="s">
        <v>121</v>
      </c>
      <c r="G47" s="39" t="s">
        <v>147</v>
      </c>
      <c r="H47" s="38" t="s">
        <v>163</v>
      </c>
      <c r="I47" s="38" t="s">
        <v>212</v>
      </c>
      <c r="J47" s="57" t="s">
        <v>212</v>
      </c>
      <c r="K47" s="58">
        <v>4</v>
      </c>
      <c r="L47" s="38">
        <v>41</v>
      </c>
      <c r="M47" s="41"/>
    </row>
    <row r="48" spans="1:13" s="73" customFormat="1" ht="60.75" thickBot="1" x14ac:dyDescent="0.3">
      <c r="A48" s="72"/>
      <c r="B48" s="52">
        <f t="shared" si="0"/>
        <v>39</v>
      </c>
      <c r="C48" s="56" t="s">
        <v>204</v>
      </c>
      <c r="D48" s="68" t="s">
        <v>51</v>
      </c>
      <c r="E48" s="39" t="s">
        <v>92</v>
      </c>
      <c r="F48" s="38" t="s">
        <v>230</v>
      </c>
      <c r="G48" s="39" t="s">
        <v>122</v>
      </c>
      <c r="H48" s="38" t="s">
        <v>164</v>
      </c>
      <c r="I48" s="38" t="s">
        <v>222</v>
      </c>
      <c r="J48" s="57" t="s">
        <v>223</v>
      </c>
      <c r="K48" s="38">
        <v>1</v>
      </c>
      <c r="L48" s="38">
        <v>15</v>
      </c>
      <c r="M48" s="40"/>
    </row>
    <row r="49" spans="1:13" s="73" customFormat="1" ht="48.75" thickBot="1" x14ac:dyDescent="0.3">
      <c r="A49" s="72"/>
      <c r="B49" s="52">
        <f>ROW(B49) - ROW($B$9)</f>
        <v>40</v>
      </c>
      <c r="C49" s="56" t="s">
        <v>204</v>
      </c>
      <c r="D49" s="69" t="s">
        <v>52</v>
      </c>
      <c r="E49" s="38" t="s">
        <v>93</v>
      </c>
      <c r="F49" s="38" t="s">
        <v>230</v>
      </c>
      <c r="G49" s="39" t="s">
        <v>123</v>
      </c>
      <c r="H49" s="38" t="s">
        <v>165</v>
      </c>
      <c r="I49" s="38" t="s">
        <v>224</v>
      </c>
      <c r="J49" s="57" t="s">
        <v>225</v>
      </c>
      <c r="K49" s="61">
        <v>2</v>
      </c>
      <c r="L49" s="38">
        <v>25</v>
      </c>
      <c r="M49" s="41"/>
    </row>
    <row r="50" spans="1:13" x14ac:dyDescent="0.25">
      <c r="A50" s="1"/>
      <c r="B50" s="32"/>
      <c r="C50" s="50"/>
      <c r="D50" s="33"/>
      <c r="E50" s="34"/>
      <c r="F50" s="35"/>
      <c r="G50" s="36"/>
      <c r="H50" s="35"/>
      <c r="I50" s="35"/>
      <c r="J50" s="36"/>
      <c r="K50" s="36"/>
      <c r="L50" s="36"/>
      <c r="M50" s="43"/>
    </row>
    <row r="51" spans="1:13" ht="15.75" thickBot="1" x14ac:dyDescent="0.3">
      <c r="A51" s="1"/>
      <c r="B51" s="24"/>
      <c r="C51" s="51"/>
      <c r="D51" s="8"/>
      <c r="E51" s="9"/>
      <c r="F51" s="9"/>
      <c r="G51" s="9"/>
      <c r="H51" s="9"/>
      <c r="I51" s="9"/>
      <c r="J51" s="9"/>
      <c r="K51" s="9"/>
      <c r="L51" s="9"/>
      <c r="M51" s="44"/>
    </row>
  </sheetData>
  <mergeCells count="2">
    <mergeCell ref="J1:M1"/>
    <mergeCell ref="M3:M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 Boards</vt:lpstr>
      <vt:lpstr>10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2023-03-01T14:21:21Z</dcterms:modified>
</cp:coreProperties>
</file>